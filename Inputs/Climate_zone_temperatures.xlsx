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7gc-my.sharepoint.com/personal/douglas_macdonald_ec_gc_ca/Documents/Desktop/SLCF/"/>
    </mc:Choice>
  </mc:AlternateContent>
  <xr:revisionPtr revIDLastSave="0" documentId="8_{5CBC179D-DBC3-4D14-A28C-4EB2710EDD32}" xr6:coauthVersionLast="47" xr6:coauthVersionMax="47" xr10:uidLastSave="{00000000-0000-0000-0000-000000000000}"/>
  <bookViews>
    <workbookView xWindow="-120" yWindow="-120" windowWidth="29040" windowHeight="15720" activeTab="1" xr2:uid="{61EB5F8D-009A-4CF3-B5AD-7924B48685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2" l="1"/>
  <c r="C16" i="1"/>
</calcChain>
</file>

<file path=xl/sharedStrings.xml><?xml version="1.0" encoding="utf-8"?>
<sst xmlns="http://schemas.openxmlformats.org/spreadsheetml/2006/main" count="144" uniqueCount="51">
  <si>
    <t>th</t>
  </si>
  <si>
    <t>AnimalType</t>
  </si>
  <si>
    <t>Temperature (deg C)</t>
  </si>
  <si>
    <t>Tref (deg C)</t>
  </si>
  <si>
    <t>CT</t>
  </si>
  <si>
    <t>EFTref (%)</t>
  </si>
  <si>
    <t>Base EF (%)</t>
  </si>
  <si>
    <t>HousingType</t>
  </si>
  <si>
    <t>Housing multiplier</t>
  </si>
  <si>
    <t>StorageType</t>
  </si>
  <si>
    <t>CoverCondition</t>
  </si>
  <si>
    <t>Storage/cover multiplier</t>
  </si>
  <si>
    <t>StorageCoverDefault</t>
  </si>
  <si>
    <t>Adjusted EF (%)</t>
  </si>
  <si>
    <t>TAN generated (kg N)</t>
  </si>
  <si>
    <t>TAN removed (kg N)</t>
  </si>
  <si>
    <t>TAN available (kg N)</t>
  </si>
  <si>
    <r>
      <t>NH</t>
    </r>
    <r>
      <rPr>
        <b/>
        <sz val="5"/>
        <color rgb="FF1F2A1F"/>
        <rFont val="Arial"/>
        <family val="2"/>
      </rPr>
      <t>3</t>
    </r>
    <r>
      <rPr>
        <b/>
        <sz val="7"/>
        <color rgb="FF1F2A1F"/>
        <rFont val="Arial"/>
        <family val="2"/>
      </rPr>
      <t> emission (kg NH</t>
    </r>
    <r>
      <rPr>
        <b/>
        <sz val="5"/>
        <color rgb="FF1F2A1F"/>
        <rFont val="Arial"/>
        <family val="2"/>
      </rPr>
      <t>3</t>
    </r>
    <r>
      <rPr>
        <b/>
        <sz val="7"/>
        <color rgb="FF1F2A1F"/>
        <rFont val="Arial"/>
        <family val="2"/>
      </rPr>
      <t>-N)</t>
    </r>
  </si>
  <si>
    <t>Ending stored TAN (kg N)</t>
  </si>
  <si>
    <t>Jan</t>
  </si>
  <si>
    <t>DAIRY_CATTLE</t>
  </si>
  <si>
    <t>unsure</t>
  </si>
  <si>
    <t>slurry tank</t>
  </si>
  <si>
    <t>uncovered</t>
  </si>
  <si>
    <t>IPCC 2019 Table 10.22: liquid/slurry without natural crust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</si>
  <si>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</si>
  <si>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</si>
  <si>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</si>
  <si>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</si>
  <si>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</si>
  <si>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</si>
  <si>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</si>
  <si>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</si>
  <si>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</si>
  <si>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</si>
  <si>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</si>
  <si>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Summary</t>
  </si>
  <si>
    <t>NA</t>
  </si>
  <si>
    <t>Tropical Wet</t>
  </si>
  <si>
    <t>Tropical Moist</t>
  </si>
  <si>
    <t>Tropical Dry</t>
  </si>
  <si>
    <t>Warm Temperate Moist</t>
  </si>
  <si>
    <t>Warm Temperate Dry</t>
  </si>
  <si>
    <t>Cool Temperate Moist</t>
  </si>
  <si>
    <t>Cool Temperate Dry</t>
  </si>
  <si>
    <t>Boreal Moist</t>
  </si>
  <si>
    <t>Boreal Dry</t>
  </si>
  <si>
    <t>Polar</t>
  </si>
  <si>
    <t xml:space="preserve">Median </t>
  </si>
  <si>
    <t>Std</t>
  </si>
  <si>
    <t>Climate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</si>
</sst>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7"/>
      <color rgb="FF1F2A1F"/>
      <name val="Arial"/>
      <family val="2"/>
    </font>
    <font>
      <b/>
      <sz val="5"/>
      <color rgb="FF1F2A1F"/>
      <name val="Arial"/>
      <family val="2"/>
    </font>
    <font>
      <sz val="7"/>
      <color rgb="FF1F2A1F"/>
      <name val="Arial"/>
      <family val="2"/>
    </font>
    <font>
      <sz val="7"/>
      <color rgb="FF909090"/>
      <name val="Arial"/>
      <family val="2"/>
    </font>
    <font>
      <sz val="7"/>
      <color rgb="FF475569"/>
      <name val="Arial"/>
      <family val="2"/>
    </font>
    <font>
      <b/>
      <sz val="7"/>
      <color rgb="FF002147"/>
      <name val="Arial"/>
      <family val="2"/>
    </font>
    <font>
      <sz val="6"/>
      <color rgb="FF47556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E2E8F0"/>
      </bottom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  <border>
      <left/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  <border>
      <left/>
      <right style="medium">
        <color rgb="FFE2E8F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vertical="top" wrapText="1" indent="1"/>
    </xf>
    <xf numFmtId="0" fontId="3" fillId="3" borderId="1" xfId="0" applyFont="1" applyFill="1" applyBorder="1" applyAlignment="1">
      <alignment horizontal="right"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horizontal="right" vertical="top" wrapText="1" indent="1"/>
    </xf>
    <xf numFmtId="0" fontId="4" fillId="3" borderId="1" xfId="0" applyFont="1" applyFill="1" applyBorder="1" applyAlignment="1">
      <alignment horizontal="right" vertical="top" wrapText="1" indent="1"/>
    </xf>
    <xf numFmtId="0" fontId="1" fillId="2" borderId="2" xfId="0" applyFont="1" applyFill="1" applyBorder="1" applyAlignment="1">
      <alignment horizontal="left" wrapText="1" indent="1"/>
    </xf>
    <xf numFmtId="0" fontId="1" fillId="2" borderId="3" xfId="0" applyFont="1" applyFill="1" applyBorder="1" applyAlignment="1">
      <alignment horizontal="left" wrapText="1" indent="1"/>
    </xf>
    <xf numFmtId="0" fontId="1" fillId="2" borderId="3" xfId="0" applyFont="1" applyFill="1" applyBorder="1" applyAlignment="1">
      <alignment horizontal="right" wrapText="1" indent="1"/>
    </xf>
    <xf numFmtId="0" fontId="1" fillId="2" borderId="4" xfId="0" applyFont="1" applyFill="1" applyBorder="1" applyAlignment="1">
      <alignment horizontal="right" wrapText="1" indent="1"/>
    </xf>
    <xf numFmtId="0" fontId="0" fillId="2" borderId="5" xfId="0" applyFill="1" applyBorder="1"/>
    <xf numFmtId="0" fontId="0" fillId="2" borderId="6" xfId="0" applyFill="1" applyBorder="1"/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2</xdr:col>
          <xdr:colOff>282575</xdr:colOff>
          <xdr:row>14</xdr:row>
          <xdr:rowOff>44450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CBE9E9A-26B1-C2E3-8DC2-67D2EAC09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2535-3BCC-4177-A39A-14DAEEBB5BEA}">
  <dimension ref="A1:S16"/>
  <sheetViews>
    <sheetView topLeftCell="A8" workbookViewId="0">
      <selection activeCell="C17" sqref="C17"/>
    </sheetView>
  </sheetViews>
  <sheetFormatPr defaultRowHeight="14.5" x14ac:dyDescent="0.35"/>
  <sheetData>
    <row r="1" spans="1:19" ht="29" thickBot="1" x14ac:dyDescent="0.4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pans="1:19" ht="63.5" thickBot="1" x14ac:dyDescent="0.4">
      <c r="A2" s="1" t="s">
        <v>19</v>
      </c>
      <c r="B2" s="1" t="s">
        <v>20</v>
      </c>
      <c r="C2" s="2">
        <v>-5.37</v>
      </c>
      <c r="D2" s="2">
        <v>15</v>
      </c>
      <c r="E2" s="2">
        <v>1.06</v>
      </c>
      <c r="F2" s="2">
        <v>12.2</v>
      </c>
      <c r="G2" s="2">
        <v>4.0199999999999996</v>
      </c>
      <c r="H2" s="1" t="s">
        <v>21</v>
      </c>
      <c r="I2" s="2">
        <v>1</v>
      </c>
      <c r="J2" s="1" t="s">
        <v>22</v>
      </c>
      <c r="K2" s="1" t="s">
        <v>23</v>
      </c>
      <c r="L2" s="2">
        <v>1</v>
      </c>
      <c r="M2" s="1" t="s">
        <v>24</v>
      </c>
      <c r="N2" s="2">
        <v>4.0199999999999996</v>
      </c>
      <c r="O2" s="2">
        <v>8.33</v>
      </c>
      <c r="P2" s="2">
        <v>0</v>
      </c>
      <c r="Q2" s="2">
        <v>8.33</v>
      </c>
      <c r="R2" s="2">
        <v>0.34</v>
      </c>
      <c r="S2" s="2">
        <v>8</v>
      </c>
    </row>
    <row r="3" spans="1:19" ht="63.5" thickBot="1" x14ac:dyDescent="0.4">
      <c r="A3" s="3" t="s">
        <v>25</v>
      </c>
      <c r="B3" s="3" t="s">
        <v>20</v>
      </c>
      <c r="C3" s="4">
        <v>-4.37</v>
      </c>
      <c r="D3" s="4">
        <v>15</v>
      </c>
      <c r="E3" s="4">
        <v>1.06</v>
      </c>
      <c r="F3" s="4">
        <v>12.2</v>
      </c>
      <c r="G3" s="4">
        <v>4.25</v>
      </c>
      <c r="H3" s="3" t="s">
        <v>21</v>
      </c>
      <c r="I3" s="4">
        <v>1</v>
      </c>
      <c r="J3" s="3" t="s">
        <v>22</v>
      </c>
      <c r="K3" s="3" t="s">
        <v>23</v>
      </c>
      <c r="L3" s="4">
        <v>1</v>
      </c>
      <c r="M3" s="3" t="s">
        <v>24</v>
      </c>
      <c r="N3" s="4">
        <v>4.25</v>
      </c>
      <c r="O3" s="4">
        <v>8.33</v>
      </c>
      <c r="P3" s="4">
        <v>0</v>
      </c>
      <c r="Q3" s="4">
        <v>16.329999999999998</v>
      </c>
      <c r="R3" s="4">
        <v>0.69</v>
      </c>
      <c r="S3" s="4">
        <v>15.64</v>
      </c>
    </row>
    <row r="4" spans="1:19" ht="63.5" thickBot="1" x14ac:dyDescent="0.4">
      <c r="A4" s="1" t="s">
        <v>26</v>
      </c>
      <c r="B4" s="1" t="s">
        <v>20</v>
      </c>
      <c r="C4" s="2">
        <v>0.37</v>
      </c>
      <c r="D4" s="2">
        <v>15</v>
      </c>
      <c r="E4" s="2">
        <v>1.06</v>
      </c>
      <c r="F4" s="2">
        <v>12.2</v>
      </c>
      <c r="G4" s="2">
        <v>5.5</v>
      </c>
      <c r="H4" s="1" t="s">
        <v>21</v>
      </c>
      <c r="I4" s="2">
        <v>1</v>
      </c>
      <c r="J4" s="1" t="s">
        <v>22</v>
      </c>
      <c r="K4" s="1" t="s">
        <v>23</v>
      </c>
      <c r="L4" s="2">
        <v>1</v>
      </c>
      <c r="M4" s="1" t="s">
        <v>24</v>
      </c>
      <c r="N4" s="2">
        <v>5.5</v>
      </c>
      <c r="O4" s="2">
        <v>8.33</v>
      </c>
      <c r="P4" s="2">
        <v>0</v>
      </c>
      <c r="Q4" s="2">
        <v>23.97</v>
      </c>
      <c r="R4" s="2">
        <v>1.32</v>
      </c>
      <c r="S4" s="2">
        <v>22.65</v>
      </c>
    </row>
    <row r="5" spans="1:19" ht="63.5" thickBot="1" x14ac:dyDescent="0.4">
      <c r="A5" s="3" t="s">
        <v>27</v>
      </c>
      <c r="B5" s="3" t="s">
        <v>20</v>
      </c>
      <c r="C5" s="4">
        <v>6.57</v>
      </c>
      <c r="D5" s="4">
        <v>15</v>
      </c>
      <c r="E5" s="4">
        <v>1.06</v>
      </c>
      <c r="F5" s="4">
        <v>12.2</v>
      </c>
      <c r="G5" s="4">
        <v>7.71</v>
      </c>
      <c r="H5" s="3" t="s">
        <v>21</v>
      </c>
      <c r="I5" s="4">
        <v>1</v>
      </c>
      <c r="J5" s="3" t="s">
        <v>22</v>
      </c>
      <c r="K5" s="3" t="s">
        <v>23</v>
      </c>
      <c r="L5" s="4">
        <v>1</v>
      </c>
      <c r="M5" s="3" t="s">
        <v>24</v>
      </c>
      <c r="N5" s="4">
        <v>7.71</v>
      </c>
      <c r="O5" s="4">
        <v>8.33</v>
      </c>
      <c r="P5" s="4">
        <v>0</v>
      </c>
      <c r="Q5" s="4">
        <v>30.99</v>
      </c>
      <c r="R5" s="4">
        <v>2.39</v>
      </c>
      <c r="S5" s="4">
        <v>28.6</v>
      </c>
    </row>
    <row r="6" spans="1:19" ht="63.5" thickBot="1" x14ac:dyDescent="0.4">
      <c r="A6" s="1" t="s">
        <v>28</v>
      </c>
      <c r="B6" s="1" t="s">
        <v>20</v>
      </c>
      <c r="C6" s="2">
        <v>11.8</v>
      </c>
      <c r="D6" s="2">
        <v>15</v>
      </c>
      <c r="E6" s="2">
        <v>1.06</v>
      </c>
      <c r="F6" s="2">
        <v>12.2</v>
      </c>
      <c r="G6" s="2">
        <v>10.25</v>
      </c>
      <c r="H6" s="1" t="s">
        <v>21</v>
      </c>
      <c r="I6" s="2">
        <v>1</v>
      </c>
      <c r="J6" s="1" t="s">
        <v>22</v>
      </c>
      <c r="K6" s="1" t="s">
        <v>23</v>
      </c>
      <c r="L6" s="2">
        <v>1</v>
      </c>
      <c r="M6" s="1" t="s">
        <v>24</v>
      </c>
      <c r="N6" s="2">
        <v>10.25</v>
      </c>
      <c r="O6" s="2">
        <v>8.33</v>
      </c>
      <c r="P6" s="2">
        <v>0</v>
      </c>
      <c r="Q6" s="2">
        <v>36.93</v>
      </c>
      <c r="R6" s="2">
        <v>3.79</v>
      </c>
      <c r="S6" s="2">
        <v>33.15</v>
      </c>
    </row>
    <row r="7" spans="1:19" ht="63.5" thickBot="1" x14ac:dyDescent="0.4">
      <c r="A7" s="3" t="s">
        <v>29</v>
      </c>
      <c r="B7" s="3" t="s">
        <v>20</v>
      </c>
      <c r="C7" s="4">
        <v>16.43</v>
      </c>
      <c r="D7" s="4">
        <v>15</v>
      </c>
      <c r="E7" s="4">
        <v>1.06</v>
      </c>
      <c r="F7" s="4">
        <v>12.2</v>
      </c>
      <c r="G7" s="4">
        <v>13.19</v>
      </c>
      <c r="H7" s="3" t="s">
        <v>21</v>
      </c>
      <c r="I7" s="4">
        <v>1</v>
      </c>
      <c r="J7" s="3" t="s">
        <v>22</v>
      </c>
      <c r="K7" s="3" t="s">
        <v>23</v>
      </c>
      <c r="L7" s="4">
        <v>1</v>
      </c>
      <c r="M7" s="3" t="s">
        <v>24</v>
      </c>
      <c r="N7" s="4">
        <v>13.19</v>
      </c>
      <c r="O7" s="4">
        <v>8.33</v>
      </c>
      <c r="P7" s="4">
        <v>0</v>
      </c>
      <c r="Q7" s="4">
        <v>41.48</v>
      </c>
      <c r="R7" s="4">
        <v>5.47</v>
      </c>
      <c r="S7" s="4">
        <v>36.01</v>
      </c>
    </row>
    <row r="8" spans="1:19" ht="63.5" thickBot="1" x14ac:dyDescent="0.4">
      <c r="A8" s="1" t="s">
        <v>30</v>
      </c>
      <c r="B8" s="1" t="s">
        <v>20</v>
      </c>
      <c r="C8" s="2">
        <v>18.8</v>
      </c>
      <c r="D8" s="2">
        <v>15</v>
      </c>
      <c r="E8" s="2">
        <v>1.06</v>
      </c>
      <c r="F8" s="2">
        <v>12.2</v>
      </c>
      <c r="G8" s="2">
        <v>15.01</v>
      </c>
      <c r="H8" s="1" t="s">
        <v>21</v>
      </c>
      <c r="I8" s="2">
        <v>1</v>
      </c>
      <c r="J8" s="1" t="s">
        <v>22</v>
      </c>
      <c r="K8" s="1" t="s">
        <v>23</v>
      </c>
      <c r="L8" s="2">
        <v>1</v>
      </c>
      <c r="M8" s="1" t="s">
        <v>24</v>
      </c>
      <c r="N8" s="2">
        <v>15.01</v>
      </c>
      <c r="O8" s="2">
        <v>8.33</v>
      </c>
      <c r="P8" s="2">
        <v>0</v>
      </c>
      <c r="Q8" s="2">
        <v>44.34</v>
      </c>
      <c r="R8" s="2">
        <v>6.65</v>
      </c>
      <c r="S8" s="2">
        <v>37.69</v>
      </c>
    </row>
    <row r="9" spans="1:19" ht="63.5" thickBot="1" x14ac:dyDescent="0.4">
      <c r="A9" s="3" t="s">
        <v>31</v>
      </c>
      <c r="B9" s="3" t="s">
        <v>20</v>
      </c>
      <c r="C9" s="4">
        <v>17.8</v>
      </c>
      <c r="D9" s="4">
        <v>15</v>
      </c>
      <c r="E9" s="4">
        <v>1.06</v>
      </c>
      <c r="F9" s="4">
        <v>12.2</v>
      </c>
      <c r="G9" s="4">
        <v>14.21</v>
      </c>
      <c r="H9" s="3" t="s">
        <v>21</v>
      </c>
      <c r="I9" s="4">
        <v>1</v>
      </c>
      <c r="J9" s="3" t="s">
        <v>22</v>
      </c>
      <c r="K9" s="3" t="s">
        <v>23</v>
      </c>
      <c r="L9" s="4">
        <v>1</v>
      </c>
      <c r="M9" s="3" t="s">
        <v>24</v>
      </c>
      <c r="N9" s="4">
        <v>14.21</v>
      </c>
      <c r="O9" s="4">
        <v>8.33</v>
      </c>
      <c r="P9" s="4">
        <v>0</v>
      </c>
      <c r="Q9" s="4">
        <v>46.02</v>
      </c>
      <c r="R9" s="4">
        <v>6.54</v>
      </c>
      <c r="S9" s="4">
        <v>39.479999999999997</v>
      </c>
    </row>
    <row r="10" spans="1:19" ht="63.5" thickBot="1" x14ac:dyDescent="0.4">
      <c r="A10" s="1" t="s">
        <v>32</v>
      </c>
      <c r="B10" s="1" t="s">
        <v>20</v>
      </c>
      <c r="C10" s="2">
        <v>13.07</v>
      </c>
      <c r="D10" s="2">
        <v>15</v>
      </c>
      <c r="E10" s="2">
        <v>1.06</v>
      </c>
      <c r="F10" s="2">
        <v>12.2</v>
      </c>
      <c r="G10" s="2">
        <v>10.98</v>
      </c>
      <c r="H10" s="1" t="s">
        <v>21</v>
      </c>
      <c r="I10" s="2">
        <v>1</v>
      </c>
      <c r="J10" s="1" t="s">
        <v>22</v>
      </c>
      <c r="K10" s="1" t="s">
        <v>23</v>
      </c>
      <c r="L10" s="2">
        <v>1</v>
      </c>
      <c r="M10" s="1" t="s">
        <v>24</v>
      </c>
      <c r="N10" s="2">
        <v>10.98</v>
      </c>
      <c r="O10" s="2">
        <v>8.33</v>
      </c>
      <c r="P10" s="2">
        <v>0</v>
      </c>
      <c r="Q10" s="2">
        <v>47.81</v>
      </c>
      <c r="R10" s="2">
        <v>5.25</v>
      </c>
      <c r="S10" s="2">
        <v>42.56</v>
      </c>
    </row>
    <row r="11" spans="1:19" ht="63.5" thickBot="1" x14ac:dyDescent="0.4">
      <c r="A11" s="3" t="s">
        <v>33</v>
      </c>
      <c r="B11" s="3" t="s">
        <v>20</v>
      </c>
      <c r="C11" s="4">
        <v>7.68</v>
      </c>
      <c r="D11" s="4">
        <v>15</v>
      </c>
      <c r="E11" s="4">
        <v>1.06</v>
      </c>
      <c r="F11" s="4">
        <v>12.2</v>
      </c>
      <c r="G11" s="4">
        <v>8.19</v>
      </c>
      <c r="H11" s="3" t="s">
        <v>21</v>
      </c>
      <c r="I11" s="4">
        <v>1</v>
      </c>
      <c r="J11" s="3" t="s">
        <v>22</v>
      </c>
      <c r="K11" s="3" t="s">
        <v>23</v>
      </c>
      <c r="L11" s="4">
        <v>1</v>
      </c>
      <c r="M11" s="3" t="s">
        <v>24</v>
      </c>
      <c r="N11" s="4">
        <v>8.19</v>
      </c>
      <c r="O11" s="4">
        <v>8.33</v>
      </c>
      <c r="P11" s="4">
        <v>0</v>
      </c>
      <c r="Q11" s="4">
        <v>50.9</v>
      </c>
      <c r="R11" s="4">
        <v>4.17</v>
      </c>
      <c r="S11" s="4">
        <v>46.73</v>
      </c>
    </row>
    <row r="12" spans="1:19" ht="63.5" thickBot="1" x14ac:dyDescent="0.4">
      <c r="A12" s="1" t="s">
        <v>34</v>
      </c>
      <c r="B12" s="1" t="s">
        <v>20</v>
      </c>
      <c r="C12" s="2">
        <v>2.38</v>
      </c>
      <c r="D12" s="2">
        <v>15</v>
      </c>
      <c r="E12" s="2">
        <v>1.06</v>
      </c>
      <c r="F12" s="2">
        <v>12.2</v>
      </c>
      <c r="G12" s="2">
        <v>6.13</v>
      </c>
      <c r="H12" s="1" t="s">
        <v>21</v>
      </c>
      <c r="I12" s="2">
        <v>1</v>
      </c>
      <c r="J12" s="1" t="s">
        <v>22</v>
      </c>
      <c r="K12" s="1" t="s">
        <v>23</v>
      </c>
      <c r="L12" s="2">
        <v>1</v>
      </c>
      <c r="M12" s="1" t="s">
        <v>24</v>
      </c>
      <c r="N12" s="2">
        <v>6.13</v>
      </c>
      <c r="O12" s="2">
        <v>8.33</v>
      </c>
      <c r="P12" s="2">
        <v>0</v>
      </c>
      <c r="Q12" s="2">
        <v>55.06</v>
      </c>
      <c r="R12" s="2">
        <v>3.38</v>
      </c>
      <c r="S12" s="2">
        <v>51.69</v>
      </c>
    </row>
    <row r="13" spans="1:19" ht="63.5" thickBot="1" x14ac:dyDescent="0.4">
      <c r="A13" s="3" t="s">
        <v>35</v>
      </c>
      <c r="B13" s="3" t="s">
        <v>20</v>
      </c>
      <c r="C13" s="4">
        <v>-2.88</v>
      </c>
      <c r="D13" s="4">
        <v>15</v>
      </c>
      <c r="E13" s="4">
        <v>1.06</v>
      </c>
      <c r="F13" s="4">
        <v>12.2</v>
      </c>
      <c r="G13" s="4">
        <v>4.6100000000000003</v>
      </c>
      <c r="H13" s="3" t="s">
        <v>21</v>
      </c>
      <c r="I13" s="4">
        <v>1</v>
      </c>
      <c r="J13" s="3" t="s">
        <v>22</v>
      </c>
      <c r="K13" s="3" t="s">
        <v>23</v>
      </c>
      <c r="L13" s="4">
        <v>1</v>
      </c>
      <c r="M13" s="3" t="s">
        <v>24</v>
      </c>
      <c r="N13" s="4">
        <v>4.6100000000000003</v>
      </c>
      <c r="O13" s="4">
        <v>8.33</v>
      </c>
      <c r="P13" s="4">
        <v>0</v>
      </c>
      <c r="Q13" s="4">
        <v>60.02</v>
      </c>
      <c r="R13" s="4">
        <v>2.76</v>
      </c>
      <c r="S13" s="4">
        <v>57.26</v>
      </c>
    </row>
    <row r="14" spans="1:19" ht="18.5" thickBot="1" x14ac:dyDescent="0.4">
      <c r="A14" s="1" t="s">
        <v>36</v>
      </c>
      <c r="B14" s="1" t="s">
        <v>20</v>
      </c>
      <c r="C14" s="5" t="s">
        <v>37</v>
      </c>
      <c r="D14" s="2">
        <v>15</v>
      </c>
      <c r="E14" s="2">
        <v>1.06</v>
      </c>
      <c r="F14" s="2">
        <v>12.2</v>
      </c>
      <c r="G14" s="2">
        <v>8.67</v>
      </c>
      <c r="H14" s="1" t="s">
        <v>21</v>
      </c>
      <c r="I14" s="2">
        <v>1</v>
      </c>
      <c r="J14" s="1" t="s">
        <v>22</v>
      </c>
      <c r="K14" s="1" t="s">
        <v>23</v>
      </c>
      <c r="L14" s="10"/>
      <c r="M14" s="10"/>
      <c r="N14" s="10"/>
      <c r="O14" s="10"/>
      <c r="P14" s="10"/>
      <c r="Q14" s="10"/>
      <c r="R14" s="10"/>
      <c r="S14" s="11"/>
    </row>
    <row r="16" spans="1:19" x14ac:dyDescent="0.35">
      <c r="C16">
        <f>AVERAGE(C2:C13)</f>
        <v>6.8566666666666665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D1F8-45F1-4556-9AF9-424DA5E15526}">
  <sheetPr codeName="Sheet1"/>
  <dimension ref="A1:Y26"/>
  <sheetViews>
    <sheetView tabSelected="1" workbookViewId="0">
      <selection activeCell="B3" sqref="B3:Y12"/>
    </sheetView>
  </sheetViews>
  <sheetFormatPr defaultRowHeight="14.5" x14ac:dyDescent="0.35"/>
  <cols>
    <col min="1" max="1" width="17.08984375" customWidth="1"/>
  </cols>
  <sheetData>
    <row r="1" spans="1:25" ht="15" thickBot="1" x14ac:dyDescent="0.4">
      <c r="A1" s="15" t="s">
        <v>50</v>
      </c>
      <c r="B1" s="16" t="s">
        <v>19</v>
      </c>
      <c r="C1" s="16"/>
      <c r="D1" s="16" t="s">
        <v>25</v>
      </c>
      <c r="E1" s="16"/>
      <c r="F1" s="16" t="s">
        <v>26</v>
      </c>
      <c r="G1" s="16"/>
      <c r="H1" s="16" t="s">
        <v>27</v>
      </c>
      <c r="I1" s="16"/>
      <c r="J1" s="16" t="s">
        <v>28</v>
      </c>
      <c r="K1" s="16"/>
      <c r="L1" s="16" t="s">
        <v>29</v>
      </c>
      <c r="M1" s="16"/>
      <c r="N1" s="16" t="s">
        <v>30</v>
      </c>
      <c r="O1" s="16"/>
      <c r="P1" s="16" t="s">
        <v>31</v>
      </c>
      <c r="Q1" s="16"/>
      <c r="R1" s="16" t="s">
        <v>32</v>
      </c>
      <c r="S1" s="16"/>
      <c r="T1" s="16" t="s">
        <v>33</v>
      </c>
      <c r="U1" s="16"/>
      <c r="V1" s="16" t="s">
        <v>34</v>
      </c>
      <c r="W1" s="16"/>
      <c r="X1" s="16" t="s">
        <v>35</v>
      </c>
      <c r="Y1" s="17"/>
    </row>
    <row r="2" spans="1:25" ht="15" thickBot="1" x14ac:dyDescent="0.4">
      <c r="B2" s="18" t="s">
        <v>48</v>
      </c>
      <c r="C2" s="18" t="s">
        <v>49</v>
      </c>
      <c r="D2" s="18" t="s">
        <v>48</v>
      </c>
      <c r="E2" s="18" t="s">
        <v>49</v>
      </c>
      <c r="F2" s="18" t="s">
        <v>48</v>
      </c>
      <c r="G2" s="18" t="s">
        <v>49</v>
      </c>
      <c r="H2" s="18" t="s">
        <v>48</v>
      </c>
      <c r="I2" s="18" t="s">
        <v>49</v>
      </c>
      <c r="J2" s="18" t="s">
        <v>48</v>
      </c>
      <c r="K2" s="18" t="s">
        <v>49</v>
      </c>
      <c r="L2" s="18" t="s">
        <v>48</v>
      </c>
      <c r="M2" s="18" t="s">
        <v>49</v>
      </c>
      <c r="N2" s="18" t="s">
        <v>48</v>
      </c>
      <c r="O2" s="18" t="s">
        <v>49</v>
      </c>
      <c r="P2" s="18" t="s">
        <v>48</v>
      </c>
      <c r="Q2" s="18" t="s">
        <v>49</v>
      </c>
      <c r="R2" s="18" t="s">
        <v>48</v>
      </c>
      <c r="S2" s="18" t="s">
        <v>49</v>
      </c>
      <c r="T2" s="18" t="s">
        <v>48</v>
      </c>
      <c r="U2" s="18" t="s">
        <v>49</v>
      </c>
      <c r="V2" s="18" t="s">
        <v>48</v>
      </c>
      <c r="W2" s="18" t="s">
        <v>49</v>
      </c>
      <c r="X2" s="18" t="s">
        <v>48</v>
      </c>
      <c r="Y2" s="18" t="s">
        <v>49</v>
      </c>
    </row>
    <row r="3" spans="1:25" ht="15" thickBot="1" x14ac:dyDescent="0.4">
      <c r="A3" s="12" t="s">
        <v>38</v>
      </c>
      <c r="B3" s="19">
        <v>26.22</v>
      </c>
      <c r="C3" s="19">
        <v>1.85</v>
      </c>
      <c r="D3" s="19">
        <v>26.28</v>
      </c>
      <c r="E3" s="19">
        <v>1.49</v>
      </c>
      <c r="F3" s="19">
        <v>26.47</v>
      </c>
      <c r="G3" s="19">
        <v>1.1499999999999999</v>
      </c>
      <c r="H3" s="19">
        <v>26.72</v>
      </c>
      <c r="I3" s="19">
        <v>1.1399999999999999</v>
      </c>
      <c r="J3" s="19">
        <v>26.47</v>
      </c>
      <c r="K3" s="19">
        <v>1.29</v>
      </c>
      <c r="L3" s="19">
        <v>26.03</v>
      </c>
      <c r="M3" s="19">
        <v>1.44</v>
      </c>
      <c r="N3" s="19">
        <v>25.91</v>
      </c>
      <c r="O3" s="19">
        <v>1.48</v>
      </c>
      <c r="P3" s="19">
        <v>26.41</v>
      </c>
      <c r="Q3" s="19">
        <v>1.49</v>
      </c>
      <c r="R3" s="19">
        <v>26.78</v>
      </c>
      <c r="S3" s="19">
        <v>1.36</v>
      </c>
      <c r="T3" s="19">
        <v>26.91</v>
      </c>
      <c r="U3" s="19">
        <v>1.31</v>
      </c>
      <c r="V3" s="19">
        <v>26.66</v>
      </c>
      <c r="W3" s="19">
        <v>1.35</v>
      </c>
      <c r="X3" s="20">
        <v>26.4</v>
      </c>
      <c r="Y3" s="20">
        <v>1.72</v>
      </c>
    </row>
    <row r="4" spans="1:25" ht="15" thickBot="1" x14ac:dyDescent="0.4">
      <c r="A4" s="13" t="s">
        <v>39</v>
      </c>
      <c r="B4" s="21">
        <v>25.94</v>
      </c>
      <c r="C4" s="21">
        <v>3.1</v>
      </c>
      <c r="D4" s="21">
        <v>26.69</v>
      </c>
      <c r="E4" s="21">
        <v>2.52</v>
      </c>
      <c r="F4" s="21">
        <v>27.32</v>
      </c>
      <c r="G4" s="21">
        <v>2.1</v>
      </c>
      <c r="H4" s="21">
        <v>27.69</v>
      </c>
      <c r="I4" s="21">
        <v>2.39</v>
      </c>
      <c r="J4" s="21">
        <v>27.19</v>
      </c>
      <c r="K4" s="21">
        <v>3.13</v>
      </c>
      <c r="L4" s="21">
        <v>26.44</v>
      </c>
      <c r="M4" s="21">
        <v>3.08</v>
      </c>
      <c r="N4" s="21">
        <v>25.69</v>
      </c>
      <c r="O4" s="21">
        <v>2.4900000000000002</v>
      </c>
      <c r="P4" s="21">
        <v>25.56</v>
      </c>
      <c r="Q4" s="21">
        <v>2.0099999999999998</v>
      </c>
      <c r="R4" s="21">
        <v>26.43</v>
      </c>
      <c r="S4" s="21">
        <v>1.64</v>
      </c>
      <c r="T4" s="21">
        <v>26.81</v>
      </c>
      <c r="U4" s="21">
        <v>1.41</v>
      </c>
      <c r="V4" s="21">
        <v>26.3</v>
      </c>
      <c r="W4" s="21">
        <v>2.0099999999999998</v>
      </c>
      <c r="X4" s="22">
        <v>25.82</v>
      </c>
      <c r="Y4" s="22">
        <v>2.88</v>
      </c>
    </row>
    <row r="5" spans="1:25" ht="15" thickBot="1" x14ac:dyDescent="0.4">
      <c r="A5" s="13" t="s">
        <v>40</v>
      </c>
      <c r="B5" s="21">
        <v>22.05</v>
      </c>
      <c r="C5" s="21">
        <v>5.13</v>
      </c>
      <c r="D5" s="21">
        <v>24.56</v>
      </c>
      <c r="E5" s="21">
        <v>4.16</v>
      </c>
      <c r="F5" s="21">
        <v>26.97</v>
      </c>
      <c r="G5" s="21">
        <v>3.02</v>
      </c>
      <c r="H5" s="21">
        <v>28.81</v>
      </c>
      <c r="I5" s="21">
        <v>2.86</v>
      </c>
      <c r="J5" s="21">
        <v>31.56</v>
      </c>
      <c r="K5" s="21">
        <v>4.42</v>
      </c>
      <c r="L5" s="21">
        <v>32.18</v>
      </c>
      <c r="M5" s="21">
        <v>5.62</v>
      </c>
      <c r="N5" s="21">
        <v>30.81</v>
      </c>
      <c r="O5" s="21">
        <v>5.74</v>
      </c>
      <c r="P5" s="21">
        <v>29.69</v>
      </c>
      <c r="Q5" s="21">
        <v>4.8499999999999996</v>
      </c>
      <c r="R5" s="21">
        <v>29.82</v>
      </c>
      <c r="S5" s="21">
        <v>3.19</v>
      </c>
      <c r="T5" s="21">
        <v>28.53</v>
      </c>
      <c r="U5" s="21">
        <v>1.9</v>
      </c>
      <c r="V5" s="21">
        <v>26.03</v>
      </c>
      <c r="W5" s="21">
        <v>2.98</v>
      </c>
      <c r="X5" s="22">
        <v>22.95</v>
      </c>
      <c r="Y5" s="22">
        <v>4.6500000000000004</v>
      </c>
    </row>
    <row r="6" spans="1:25" ht="15" thickBot="1" x14ac:dyDescent="0.4">
      <c r="A6" s="13" t="s">
        <v>41</v>
      </c>
      <c r="B6" s="21">
        <v>17.36</v>
      </c>
      <c r="C6" s="21">
        <v>8.44</v>
      </c>
      <c r="D6" s="21">
        <v>18.7</v>
      </c>
      <c r="E6" s="21">
        <v>7.64</v>
      </c>
      <c r="F6" s="21">
        <v>19.95</v>
      </c>
      <c r="G6" s="21">
        <v>5.76</v>
      </c>
      <c r="H6" s="21">
        <v>20.190000000000001</v>
      </c>
      <c r="I6" s="21">
        <v>3.8</v>
      </c>
      <c r="J6" s="21">
        <v>21.06</v>
      </c>
      <c r="K6" s="21">
        <v>3.3</v>
      </c>
      <c r="L6" s="21">
        <v>22.2</v>
      </c>
      <c r="M6" s="21">
        <v>4.1900000000000004</v>
      </c>
      <c r="N6" s="21">
        <v>22.57</v>
      </c>
      <c r="O6" s="21">
        <v>4.9800000000000004</v>
      </c>
      <c r="P6" s="21">
        <v>22.93</v>
      </c>
      <c r="Q6" s="21">
        <v>4.41</v>
      </c>
      <c r="R6" s="21">
        <v>22.44</v>
      </c>
      <c r="S6" s="21">
        <v>3.24</v>
      </c>
      <c r="T6" s="21">
        <v>20.32</v>
      </c>
      <c r="U6" s="21">
        <v>3.43</v>
      </c>
      <c r="V6" s="21">
        <v>19.559999999999999</v>
      </c>
      <c r="W6" s="21">
        <v>5.35</v>
      </c>
      <c r="X6" s="22">
        <v>17.68</v>
      </c>
      <c r="Y6" s="22">
        <v>7.5</v>
      </c>
    </row>
    <row r="7" spans="1:25" ht="15" thickBot="1" x14ac:dyDescent="0.4">
      <c r="A7" s="13" t="s">
        <v>42</v>
      </c>
      <c r="B7" s="21">
        <v>13.12</v>
      </c>
      <c r="C7" s="21">
        <v>10.41</v>
      </c>
      <c r="D7" s="21">
        <v>15.37</v>
      </c>
      <c r="E7" s="21">
        <v>9.0399999999999991</v>
      </c>
      <c r="F7" s="21">
        <v>18.63</v>
      </c>
      <c r="G7" s="21">
        <v>6.27</v>
      </c>
      <c r="H7" s="21">
        <v>19.690000000000001</v>
      </c>
      <c r="I7" s="21">
        <v>3.99</v>
      </c>
      <c r="J7" s="21">
        <v>19.809999999999999</v>
      </c>
      <c r="K7" s="21">
        <v>5.01</v>
      </c>
      <c r="L7" s="21">
        <v>22.37</v>
      </c>
      <c r="M7" s="21">
        <v>7.48</v>
      </c>
      <c r="N7" s="21">
        <v>24.36</v>
      </c>
      <c r="O7" s="21">
        <v>8.4</v>
      </c>
      <c r="P7" s="21">
        <v>23.88</v>
      </c>
      <c r="Q7" s="21">
        <v>7.34</v>
      </c>
      <c r="R7" s="21">
        <v>21.57</v>
      </c>
      <c r="S7" s="21">
        <v>5.07</v>
      </c>
      <c r="T7" s="21">
        <v>20.56</v>
      </c>
      <c r="U7" s="21">
        <v>4.41</v>
      </c>
      <c r="V7" s="21">
        <v>18.13</v>
      </c>
      <c r="W7" s="21">
        <v>6.69</v>
      </c>
      <c r="X7" s="22">
        <v>14.37</v>
      </c>
      <c r="Y7" s="22">
        <v>9.39</v>
      </c>
    </row>
    <row r="8" spans="1:25" ht="15" thickBot="1" x14ac:dyDescent="0.4">
      <c r="A8" s="13" t="s">
        <v>43</v>
      </c>
      <c r="B8" s="21">
        <v>-5.37</v>
      </c>
      <c r="C8" s="21">
        <v>8.58</v>
      </c>
      <c r="D8" s="21">
        <v>-4.37</v>
      </c>
      <c r="E8" s="21">
        <v>7.72</v>
      </c>
      <c r="F8" s="21">
        <v>0.37</v>
      </c>
      <c r="G8" s="21">
        <v>5.25</v>
      </c>
      <c r="H8" s="21">
        <v>6.56</v>
      </c>
      <c r="I8" s="21">
        <v>2.84</v>
      </c>
      <c r="J8" s="21">
        <v>11.8</v>
      </c>
      <c r="K8" s="21">
        <v>2.48</v>
      </c>
      <c r="L8" s="21">
        <v>16.43</v>
      </c>
      <c r="M8" s="21">
        <v>3.57</v>
      </c>
      <c r="N8" s="21">
        <v>18.809999999999999</v>
      </c>
      <c r="O8" s="21">
        <v>4.1500000000000004</v>
      </c>
      <c r="P8" s="21">
        <v>17.809999999999999</v>
      </c>
      <c r="Q8" s="21">
        <v>3.82</v>
      </c>
      <c r="R8" s="21">
        <v>13.07</v>
      </c>
      <c r="S8" s="21">
        <v>2.98</v>
      </c>
      <c r="T8" s="21">
        <v>7.68</v>
      </c>
      <c r="U8" s="21">
        <v>3.1</v>
      </c>
      <c r="V8" s="21">
        <v>2.38</v>
      </c>
      <c r="W8" s="21">
        <v>5.22</v>
      </c>
      <c r="X8" s="22">
        <v>-2.88</v>
      </c>
      <c r="Y8" s="22">
        <v>7.63</v>
      </c>
    </row>
    <row r="9" spans="1:25" ht="15" thickBot="1" x14ac:dyDescent="0.4">
      <c r="A9" s="13" t="s">
        <v>44</v>
      </c>
      <c r="B9" s="21">
        <v>-10.37</v>
      </c>
      <c r="C9" s="21">
        <v>8.73</v>
      </c>
      <c r="D9" s="21">
        <v>-7.62</v>
      </c>
      <c r="E9" s="21">
        <v>7.79</v>
      </c>
      <c r="F9" s="21">
        <v>-0.56999999999999995</v>
      </c>
      <c r="G9" s="21">
        <v>5.33</v>
      </c>
      <c r="H9" s="21">
        <v>7.43</v>
      </c>
      <c r="I9" s="21">
        <v>2.91</v>
      </c>
      <c r="J9" s="21">
        <v>13.69</v>
      </c>
      <c r="K9" s="21">
        <v>3.35</v>
      </c>
      <c r="L9" s="21">
        <v>18.57</v>
      </c>
      <c r="M9" s="21">
        <v>4.67</v>
      </c>
      <c r="N9" s="21">
        <v>21.07</v>
      </c>
      <c r="O9" s="21">
        <v>5.19</v>
      </c>
      <c r="P9" s="21">
        <v>19.690000000000001</v>
      </c>
      <c r="Q9" s="21">
        <v>4.6100000000000003</v>
      </c>
      <c r="R9" s="21">
        <v>14.07</v>
      </c>
      <c r="S9" s="21">
        <v>3.15</v>
      </c>
      <c r="T9" s="21">
        <v>7.19</v>
      </c>
      <c r="U9" s="21">
        <v>2.96</v>
      </c>
      <c r="V9" s="21">
        <v>-1.19</v>
      </c>
      <c r="W9" s="21">
        <v>5.52</v>
      </c>
      <c r="X9" s="22">
        <v>-7.87</v>
      </c>
      <c r="Y9" s="22">
        <v>7.81</v>
      </c>
    </row>
    <row r="10" spans="1:25" ht="15" thickBot="1" x14ac:dyDescent="0.4">
      <c r="A10" s="13" t="s">
        <v>45</v>
      </c>
      <c r="B10" s="21">
        <v>-20.87</v>
      </c>
      <c r="C10" s="21">
        <v>9.2100000000000009</v>
      </c>
      <c r="D10" s="21">
        <v>-18.38</v>
      </c>
      <c r="E10" s="21">
        <v>8.11</v>
      </c>
      <c r="F10" s="21">
        <v>-10.88</v>
      </c>
      <c r="G10" s="21">
        <v>5.84</v>
      </c>
      <c r="H10" s="21">
        <v>-2.0699999999999998</v>
      </c>
      <c r="I10" s="21">
        <v>3.88</v>
      </c>
      <c r="J10" s="21">
        <v>5.31</v>
      </c>
      <c r="K10" s="21">
        <v>2.74</v>
      </c>
      <c r="L10" s="21">
        <v>12.06</v>
      </c>
      <c r="M10" s="21">
        <v>2.65</v>
      </c>
      <c r="N10" s="21">
        <v>15.32</v>
      </c>
      <c r="O10" s="21">
        <v>2.68</v>
      </c>
      <c r="P10" s="21">
        <v>13.06</v>
      </c>
      <c r="Q10" s="21">
        <v>2.13</v>
      </c>
      <c r="R10" s="21">
        <v>7.31</v>
      </c>
      <c r="S10" s="21">
        <v>2.14</v>
      </c>
      <c r="T10" s="21">
        <v>-0.18</v>
      </c>
      <c r="U10" s="21">
        <v>3.97</v>
      </c>
      <c r="V10" s="21">
        <v>-10.38</v>
      </c>
      <c r="W10" s="21">
        <v>7.48</v>
      </c>
      <c r="X10" s="22">
        <v>-17.38</v>
      </c>
      <c r="Y10" s="22">
        <v>9.24</v>
      </c>
    </row>
    <row r="11" spans="1:25" ht="15" thickBot="1" x14ac:dyDescent="0.4">
      <c r="A11" s="13" t="s">
        <v>46</v>
      </c>
      <c r="B11" s="21">
        <v>-26.12</v>
      </c>
      <c r="C11" s="21">
        <v>10.46</v>
      </c>
      <c r="D11" s="21">
        <v>-24.39</v>
      </c>
      <c r="E11" s="21">
        <v>10.01</v>
      </c>
      <c r="F11" s="21">
        <v>-18.149999999999999</v>
      </c>
      <c r="G11" s="21">
        <v>7.92</v>
      </c>
      <c r="H11" s="21">
        <v>-5.18</v>
      </c>
      <c r="I11" s="21">
        <v>5.26</v>
      </c>
      <c r="J11" s="21">
        <v>4.5599999999999996</v>
      </c>
      <c r="K11" s="21">
        <v>2.84</v>
      </c>
      <c r="L11" s="21">
        <v>12.19</v>
      </c>
      <c r="M11" s="21">
        <v>2.93</v>
      </c>
      <c r="N11" s="21">
        <v>14.56</v>
      </c>
      <c r="O11" s="21">
        <v>3.2</v>
      </c>
      <c r="P11" s="21">
        <v>11.7</v>
      </c>
      <c r="Q11" s="21">
        <v>2.57</v>
      </c>
      <c r="R11" s="21">
        <v>5.31</v>
      </c>
      <c r="S11" s="21">
        <v>2.17</v>
      </c>
      <c r="T11" s="21">
        <v>-4.68</v>
      </c>
      <c r="U11" s="21">
        <v>4.54</v>
      </c>
      <c r="V11" s="21">
        <v>-16.87</v>
      </c>
      <c r="W11" s="21">
        <v>8.6</v>
      </c>
      <c r="X11" s="22">
        <v>-22.86</v>
      </c>
      <c r="Y11" s="22">
        <v>10.56</v>
      </c>
    </row>
    <row r="12" spans="1:25" ht="15" thickBot="1" x14ac:dyDescent="0.4">
      <c r="A12" s="13" t="s">
        <v>47</v>
      </c>
      <c r="B12" s="21">
        <v>-29.63</v>
      </c>
      <c r="C12" s="21">
        <v>7.94</v>
      </c>
      <c r="D12" s="21">
        <v>-29.88</v>
      </c>
      <c r="E12" s="21">
        <v>8.31</v>
      </c>
      <c r="F12" s="21">
        <v>-25.37</v>
      </c>
      <c r="G12" s="21">
        <v>8.48</v>
      </c>
      <c r="H12" s="21">
        <v>-16.13</v>
      </c>
      <c r="I12" s="21">
        <v>7.84</v>
      </c>
      <c r="J12" s="21">
        <v>-6.13</v>
      </c>
      <c r="K12" s="21">
        <v>6.18</v>
      </c>
      <c r="L12" s="21">
        <v>2.87</v>
      </c>
      <c r="M12" s="21">
        <v>6.17</v>
      </c>
      <c r="N12" s="21">
        <v>7.12</v>
      </c>
      <c r="O12" s="21">
        <v>6.4</v>
      </c>
      <c r="P12" s="21">
        <v>5.88</v>
      </c>
      <c r="Q12" s="21">
        <v>6.51</v>
      </c>
      <c r="R12" s="21">
        <v>0.37</v>
      </c>
      <c r="S12" s="21">
        <v>7.82</v>
      </c>
      <c r="T12" s="21">
        <v>-10.130000000000001</v>
      </c>
      <c r="U12" s="21">
        <v>8.3000000000000007</v>
      </c>
      <c r="V12" s="21">
        <v>-21.12</v>
      </c>
      <c r="W12" s="21">
        <v>8.06</v>
      </c>
      <c r="X12" s="22">
        <v>-26.63</v>
      </c>
      <c r="Y12" s="22">
        <v>8.18</v>
      </c>
    </row>
    <row r="13" spans="1:25" x14ac:dyDescent="0.35">
      <c r="A13" s="14"/>
    </row>
    <row r="26" spans="3:3" x14ac:dyDescent="0.35">
      <c r="C26">
        <f>C13*-1</f>
        <v>0</v>
      </c>
    </row>
  </sheetData>
  <mergeCells count="12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2</xdr:col>
                <xdr:colOff>285750</xdr:colOff>
                <xdr:row>14</xdr:row>
                <xdr:rowOff>50800</xdr:rowOff>
              </to>
            </anchor>
          </controlPr>
        </control>
      </mc:Choice>
      <mc:Fallback>
        <control shapeId="2049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MacDonald,Douglas (il | he, him) (ECCC)</dc:creator>
  <cp:lastModifiedBy>MacDonald,Douglas (il | he, him) (ECCC)</cp:lastModifiedBy>
  <dcterms:created xsi:type="dcterms:W3CDTF">2026-05-21T14:54:35Z</dcterms:created>
  <dcterms:modified xsi:type="dcterms:W3CDTF">2026-05-21T20:57:30Z</dcterms:modified>
</cp:coreProperties>
</file>