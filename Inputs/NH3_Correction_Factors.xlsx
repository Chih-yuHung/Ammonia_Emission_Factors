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\Ammonia_Emission_Factors\Inputs\"/>
    </mc:Choice>
  </mc:AlternateContent>
  <xr:revisionPtr revIDLastSave="0" documentId="13_ncr:1_{903601D8-9EB5-470E-93FB-DE2B8E8526DF}" xr6:coauthVersionLast="47" xr6:coauthVersionMax="47" xr10:uidLastSave="{00000000-0000-0000-0000-000000000000}"/>
  <bookViews>
    <workbookView xWindow="-110" yWindow="-110" windowWidth="19420" windowHeight="11500" activeTab="1" xr2:uid="{65BD1FEB-955D-426B-BAE3-FDE1392A8B52}"/>
  </bookViews>
  <sheets>
    <sheet name="Housing" sheetId="1" r:id="rId1"/>
    <sheet name="Storage" sheetId="2" r:id="rId2"/>
    <sheet name="EF comparision with the same C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" l="1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17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2" i="3"/>
  <c r="B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2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17" i="3"/>
  <c r="B3" i="3"/>
  <c r="B5" i="3"/>
  <c r="B6" i="3"/>
  <c r="B7" i="3"/>
  <c r="B8" i="3"/>
  <c r="B9" i="3"/>
  <c r="B10" i="3"/>
  <c r="B11" i="3"/>
  <c r="B12" i="3"/>
  <c r="B13" i="3"/>
  <c r="B14" i="3"/>
  <c r="B15" i="3"/>
  <c r="B2" i="3"/>
</calcChain>
</file>

<file path=xl/sharedStrings.xml><?xml version="1.0" encoding="utf-8"?>
<sst xmlns="http://schemas.openxmlformats.org/spreadsheetml/2006/main" count="131" uniqueCount="46">
  <si>
    <t>Animal_Type</t>
  </si>
  <si>
    <t>Dairy Cattle</t>
  </si>
  <si>
    <t>Non-Dairy Cattle</t>
  </si>
  <si>
    <t>Layers</t>
  </si>
  <si>
    <t>Broilers</t>
  </si>
  <si>
    <t>Swine</t>
  </si>
  <si>
    <t>Housing</t>
  </si>
  <si>
    <t>Cubicle housing</t>
  </si>
  <si>
    <t>Tied housing</t>
  </si>
  <si>
    <t>Deep litter</t>
  </si>
  <si>
    <t>Feedlot</t>
  </si>
  <si>
    <t>Manure_type</t>
  </si>
  <si>
    <t>Slurry</t>
  </si>
  <si>
    <t>Solid</t>
  </si>
  <si>
    <t>EFs_TotalN</t>
  </si>
  <si>
    <t>Note</t>
  </si>
  <si>
    <t>Storage</t>
  </si>
  <si>
    <t>Manure heap</t>
  </si>
  <si>
    <t>EFs_TAN</t>
  </si>
  <si>
    <t>Tank</t>
  </si>
  <si>
    <t>Lagoon</t>
  </si>
  <si>
    <t>EFs_Lower</t>
  </si>
  <si>
    <t>EFs_Upper</t>
  </si>
  <si>
    <t>Slatted, foreced ventilation</t>
  </si>
  <si>
    <t>Deep litter, foreced ventilation</t>
  </si>
  <si>
    <t>Deep litter, natural ventilation</t>
  </si>
  <si>
    <t>Swine_Finising</t>
  </si>
  <si>
    <t>Swine_Sows and Piglets</t>
  </si>
  <si>
    <t>Cage</t>
  </si>
  <si>
    <t>Aviary housing</t>
  </si>
  <si>
    <t>Broiler housing</t>
  </si>
  <si>
    <t>EF_Ref_15</t>
  </si>
  <si>
    <t>CT_Lower</t>
  </si>
  <si>
    <t>CT_Upper</t>
  </si>
  <si>
    <t>Only applicable to T &gt;15</t>
  </si>
  <si>
    <t>CT_15</t>
  </si>
  <si>
    <t>Same to finisher (assumed)</t>
  </si>
  <si>
    <t>T_air</t>
  </si>
  <si>
    <t>T_air_Lower</t>
  </si>
  <si>
    <t>T_air_Upper</t>
  </si>
  <si>
    <t>CT</t>
  </si>
  <si>
    <t>Temperature</t>
  </si>
  <si>
    <t>EF_DATAMAN</t>
  </si>
  <si>
    <t>EF_AMCLIM</t>
  </si>
  <si>
    <t>use manure heap CT</t>
  </si>
  <si>
    <t>Same to Cubicle (assumed)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</si>
</sst>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'EF comparision with the same CT'!$B$1</c:f>
              <c:strCache>
                <c:ptCount val="1"/>
                <c:pt idx="0">
                  <c:v>EF_DATAMAN</c:v>
                </c:pt>
              </c:strCache>
            </c:strRef>
          </c:tx>
          <c:spPr>
            <a:ln w="38100">
              <a:noFill/>
            </a:ln>
          </c:spPr>
          <c:xVal>
            <c:numRef>
              <c:f>'EF comparision with the same CT'!$A$2:$A$33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13.5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</c:numCache>
            </c:numRef>
          </c:xVal>
          <c:yVal>
            <c:numRef>
              <c:f>'EF comparision with the same CT'!$B$2:$B$33</c:f>
              <c:numCache>
                <c:formatCode>General</c:formatCode>
                <c:ptCount val="32"/>
                <c:pt idx="0">
                  <c:v>0.12930727064055908</c:v>
                </c:pt>
                <c:pt idx="1">
                  <c:v>0.13745362869091429</c:v>
                </c:pt>
                <c:pt idx="2">
                  <c:v>0.14611320729844193</c:v>
                </c:pt>
                <c:pt idx="3">
                  <c:v>0.15531833935824374</c:v>
                </c:pt>
                <c:pt idx="4">
                  <c:v>0.16510339473781308</c:v>
                </c:pt>
                <c:pt idx="5">
                  <c:v>0.17550490860629531</c:v>
                </c:pt>
                <c:pt idx="6">
                  <c:v>0.1865617178484919</c:v>
                </c:pt>
                <c:pt idx="7">
                  <c:v>0.19831510607294686</c:v>
                </c:pt>
                <c:pt idx="8">
                  <c:v>0.21080895775554251</c:v>
                </c:pt>
                <c:pt idx="9">
                  <c:v>0.22408992209414169</c:v>
                </c:pt>
                <c:pt idx="10">
                  <c:v>0.23820758718607257</c:v>
                </c:pt>
                <c:pt idx="11">
                  <c:v>0.25321466517879515</c:v>
                </c:pt>
                <c:pt idx="12">
                  <c:v>0.26916718908505927</c:v>
                </c:pt>
                <c:pt idx="13">
                  <c:v>0.28612472199741801</c:v>
                </c:pt>
                <c:pt idx="14">
                  <c:v>0.29499999999999998</c:v>
                </c:pt>
                <c:pt idx="15">
                  <c:v>0.30415057948325525</c:v>
                </c:pt>
                <c:pt idx="16">
                  <c:v>0.32331206599070034</c:v>
                </c:pt>
                <c:pt idx="17">
                  <c:v>0.34368072614811446</c:v>
                </c:pt>
                <c:pt idx="18">
                  <c:v>0.36533261189544564</c:v>
                </c:pt>
                <c:pt idx="19">
                  <c:v>0.38834856644485866</c:v>
                </c:pt>
                <c:pt idx="20">
                  <c:v>0.41281452613088476</c:v>
                </c:pt>
                <c:pt idx="21">
                  <c:v>0.43882184127713053</c:v>
                </c:pt>
                <c:pt idx="22">
                  <c:v>0.46646761727758967</c:v>
                </c:pt>
                <c:pt idx="23">
                  <c:v>0.4958550771660778</c:v>
                </c:pt>
                <c:pt idx="24">
                  <c:v>0.52709394702754064</c:v>
                </c:pt>
                <c:pt idx="25">
                  <c:v>0.56030086569027571</c:v>
                </c:pt>
                <c:pt idx="26">
                  <c:v>0.59559982022876301</c:v>
                </c:pt>
                <c:pt idx="27">
                  <c:v>0.63312260890317518</c:v>
                </c:pt>
                <c:pt idx="28">
                  <c:v>0.67300933326407519</c:v>
                </c:pt>
                <c:pt idx="29">
                  <c:v>0.71540892125971178</c:v>
                </c:pt>
                <c:pt idx="30">
                  <c:v>0.76047968329907367</c:v>
                </c:pt>
                <c:pt idx="31">
                  <c:v>0.80838990334691518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14-48AF-9C7D-258372D5D612}"/>
            </c:ext>
          </c:extLst>
        </c:ser>
        <c:ser>
          <c:idx val="2"/>
          <c:order val="1"/>
          <c:tx>
            <c:strRef>
              <c:f>'EF comparision with the same CT'!$D$1</c:f>
              <c:strCache>
                <c:ptCount val="1"/>
                <c:pt idx="0">
                  <c:v>EF_AMCLIM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'EF comparision with the same CT'!$A$2:$A$33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13.5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</c:numCache>
            </c:numRef>
          </c:xVal>
          <c:yVal>
            <c:numRef>
              <c:f>'EF comparision with the same CT'!$D$2:$D$33</c:f>
              <c:numCache>
                <c:formatCode>General</c:formatCode>
                <c:ptCount val="32"/>
                <c:pt idx="0">
                  <c:v>2.9995927520752932E-2</c:v>
                </c:pt>
                <c:pt idx="1">
                  <c:v>3.1885670954560366E-2</c:v>
                </c:pt>
                <c:pt idx="2">
                  <c:v>3.389446822469766E-2</c:v>
                </c:pt>
                <c:pt idx="3">
                  <c:v>3.6029819722853615E-2</c:v>
                </c:pt>
                <c:pt idx="4">
                  <c:v>3.8299698365393396E-2</c:v>
                </c:pt>
                <c:pt idx="5">
                  <c:v>4.0712579362413168E-2</c:v>
                </c:pt>
                <c:pt idx="6">
                  <c:v>4.3277471862245197E-2</c:v>
                </c:pt>
                <c:pt idx="7">
                  <c:v>4.6003952589566639E-2</c:v>
                </c:pt>
                <c:pt idx="8">
                  <c:v>4.8902201602709333E-2</c:v>
                </c:pt>
                <c:pt idx="9">
                  <c:v>5.1983040303680027E-2</c:v>
                </c:pt>
                <c:pt idx="10">
                  <c:v>5.5257971842811858E-2</c:v>
                </c:pt>
                <c:pt idx="11">
                  <c:v>5.8739224068908996E-2</c:v>
                </c:pt>
                <c:pt idx="12">
                  <c:v>6.2439795185250252E-2</c:v>
                </c:pt>
                <c:pt idx="13">
                  <c:v>6.6373502281921015E-2</c:v>
                </c:pt>
                <c:pt idx="14">
                  <c:v>6.8432336208065908E-2</c:v>
                </c:pt>
                <c:pt idx="15">
                  <c:v>7.0555032925682035E-2</c:v>
                </c:pt>
                <c:pt idx="16">
                  <c:v>7.4999999999999997E-2</c:v>
                </c:pt>
                <c:pt idx="17">
                  <c:v>7.972499999999999E-2</c:v>
                </c:pt>
                <c:pt idx="18">
                  <c:v>8.4747674999999981E-2</c:v>
                </c:pt>
                <c:pt idx="19">
                  <c:v>9.008677852499998E-2</c:v>
                </c:pt>
                <c:pt idx="20">
                  <c:v>9.5762245572074967E-2</c:v>
                </c:pt>
                <c:pt idx="21">
                  <c:v>0.10179526704311569</c:v>
                </c:pt>
                <c:pt idx="22">
                  <c:v>0.10820836886683195</c:v>
                </c:pt>
                <c:pt idx="23">
                  <c:v>0.11502549610544235</c:v>
                </c:pt>
                <c:pt idx="24">
                  <c:v>0.12227210236008522</c:v>
                </c:pt>
                <c:pt idx="25">
                  <c:v>0.1299752448087706</c:v>
                </c:pt>
                <c:pt idx="26">
                  <c:v>0.13816368523172312</c:v>
                </c:pt>
                <c:pt idx="27">
                  <c:v>0.14686799740132164</c:v>
                </c:pt>
                <c:pt idx="28">
                  <c:v>0.15612068123760492</c:v>
                </c:pt>
                <c:pt idx="29">
                  <c:v>0.16595628415557401</c:v>
                </c:pt>
                <c:pt idx="30">
                  <c:v>0.17641153005737514</c:v>
                </c:pt>
                <c:pt idx="31">
                  <c:v>0.18752545645098975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14-48AF-9C7D-258372D5D612}"/>
            </c:ext>
          </c:extLst>
        </c:ser>
        <c:ser>
          <c:idx val="0"/>
          <c:order val="2"/>
          <c:tx>
            <c:strRef>
              <c:f>'EF comparision with the same CT'!$C$1</c:f>
              <c:strCache>
                <c:ptCount val="1"/>
                <c:pt idx="0">
                  <c:v>EF_DATAMAN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'EF comparision with the same CT'!$A$2:$A$33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13.5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</c:numCache>
            </c:numRef>
          </c:xVal>
          <c:yVal>
            <c:numRef>
              <c:f>'EF comparision with the same CT'!$C$2:$C$33</c:f>
              <c:numCache>
                <c:formatCode>General</c:formatCode>
                <c:ptCount val="32"/>
                <c:pt idx="0">
                  <c:v>0.21990490816311156</c:v>
                </c:pt>
                <c:pt idx="1">
                  <c:v>0.2247428161427</c:v>
                </c:pt>
                <c:pt idx="2">
                  <c:v>0.22968715809783943</c:v>
                </c:pt>
                <c:pt idx="3">
                  <c:v>0.23474027557599192</c:v>
                </c:pt>
                <c:pt idx="4">
                  <c:v>0.23990456163866369</c:v>
                </c:pt>
                <c:pt idx="5">
                  <c:v>0.24518246199471433</c:v>
                </c:pt>
                <c:pt idx="6">
                  <c:v>0.25057647615859802</c:v>
                </c:pt>
                <c:pt idx="7">
                  <c:v>0.25608915863408721</c:v>
                </c:pt>
                <c:pt idx="8">
                  <c:v>0.26172312012403709</c:v>
                </c:pt>
                <c:pt idx="9">
                  <c:v>0.26748102876676594</c:v>
                </c:pt>
                <c:pt idx="10">
                  <c:v>0.27336561139963483</c:v>
                </c:pt>
                <c:pt idx="11">
                  <c:v>0.27937965485042676</c:v>
                </c:pt>
                <c:pt idx="12">
                  <c:v>0.28552600725713617</c:v>
                </c:pt>
                <c:pt idx="13">
                  <c:v>0.29180757941679319</c:v>
                </c:pt>
                <c:pt idx="14">
                  <c:v>0.29499999999999998</c:v>
                </c:pt>
                <c:pt idx="15">
                  <c:v>0.29822734616396263</c:v>
                </c:pt>
                <c:pt idx="16">
                  <c:v>0.30478834777956981</c:v>
                </c:pt>
                <c:pt idx="17">
                  <c:v>0.31149369143072037</c:v>
                </c:pt>
                <c:pt idx="18">
                  <c:v>0.31834655264219619</c:v>
                </c:pt>
                <c:pt idx="19">
                  <c:v>0.32535017680032452</c:v>
                </c:pt>
                <c:pt idx="20">
                  <c:v>0.3325078806899317</c:v>
                </c:pt>
                <c:pt idx="21">
                  <c:v>0.33982305406511021</c:v>
                </c:pt>
                <c:pt idx="22">
                  <c:v>0.34729916125454263</c:v>
                </c:pt>
                <c:pt idx="23">
                  <c:v>0.35493974280214252</c:v>
                </c:pt>
                <c:pt idx="24">
                  <c:v>0.36274841714378969</c:v>
                </c:pt>
                <c:pt idx="25">
                  <c:v>0.37072888232095302</c:v>
                </c:pt>
                <c:pt idx="26">
                  <c:v>0.37888491773201399</c:v>
                </c:pt>
                <c:pt idx="27">
                  <c:v>0.38722038592211838</c:v>
                </c:pt>
                <c:pt idx="28">
                  <c:v>0.39573923441240494</c:v>
                </c:pt>
                <c:pt idx="29">
                  <c:v>0.4044454975694779</c:v>
                </c:pt>
                <c:pt idx="30">
                  <c:v>0.41334329851600637</c:v>
                </c:pt>
                <c:pt idx="31">
                  <c:v>0.4224368510833586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14-48AF-9C7D-258372D5D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93119"/>
        <c:axId val="2090713007"/>
      </c:scatterChart>
      <c:valAx>
        <c:axId val="68893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713007"/>
        <c:crosses val="autoZero"/>
        <c:crossBetween val="midCat"/>
      </c:valAx>
      <c:valAx>
        <c:axId val="209071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9311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3</xdr:row>
      <xdr:rowOff>44450</xdr:rowOff>
    </xdr:from>
    <xdr:to>
      <xdr:col>13</xdr:col>
      <xdr:colOff>142875</xdr:colOff>
      <xdr:row>18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73908A-EA33-46EF-FD42-0939F2966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0B906-84B6-4A0E-8A7C-6A0AE22E2E78}">
  <dimension ref="A1:N22"/>
  <sheetViews>
    <sheetView zoomScaleNormal="100" workbookViewId="0">
      <selection activeCell="J16" sqref="J16"/>
    </sheetView>
  </sheetViews>
  <sheetFormatPr defaultRowHeight="14.5" x14ac:dyDescent="0.35"/>
  <cols>
    <col min="1" max="1" width="17.453125" customWidth="1"/>
    <col min="2" max="2" width="26.453125" customWidth="1"/>
    <col min="4" max="6" width="11.7265625" customWidth="1"/>
    <col min="7" max="7" width="11.08984375" customWidth="1"/>
    <col min="8" max="8" width="13.6328125" customWidth="1"/>
    <col min="9" max="9" width="13.36328125" customWidth="1"/>
    <col min="10" max="10" width="13.26953125" customWidth="1"/>
    <col min="11" max="11" width="11.6328125" customWidth="1"/>
  </cols>
  <sheetData>
    <row r="1" spans="1:14" x14ac:dyDescent="0.35">
      <c r="A1" t="s">
        <v>0</v>
      </c>
      <c r="B1" t="s">
        <v>6</v>
      </c>
      <c r="C1" t="s">
        <v>11</v>
      </c>
      <c r="D1" t="s">
        <v>14</v>
      </c>
      <c r="E1" t="s">
        <v>21</v>
      </c>
      <c r="F1" t="s">
        <v>22</v>
      </c>
      <c r="G1" t="s">
        <v>37</v>
      </c>
      <c r="H1" t="s">
        <v>38</v>
      </c>
      <c r="I1" t="s">
        <v>39</v>
      </c>
      <c r="J1" t="s">
        <v>31</v>
      </c>
      <c r="K1" t="s">
        <v>35</v>
      </c>
      <c r="L1" t="s">
        <v>32</v>
      </c>
      <c r="M1" t="s">
        <v>33</v>
      </c>
      <c r="N1" t="s">
        <v>15</v>
      </c>
    </row>
    <row r="2" spans="1:14" x14ac:dyDescent="0.35">
      <c r="A2" t="s">
        <v>1</v>
      </c>
      <c r="B2" t="s">
        <v>7</v>
      </c>
      <c r="C2" t="s">
        <v>12</v>
      </c>
      <c r="D2">
        <v>9.6000000000000002E-2</v>
      </c>
      <c r="E2">
        <v>8.5999999999999993E-2</v>
      </c>
      <c r="F2">
        <v>0.11</v>
      </c>
      <c r="G2">
        <v>14.5</v>
      </c>
      <c r="H2">
        <v>12.8</v>
      </c>
      <c r="I2">
        <v>16.5</v>
      </c>
      <c r="J2">
        <v>0.112</v>
      </c>
      <c r="K2">
        <v>1.0509999999999999</v>
      </c>
      <c r="L2">
        <v>1.038</v>
      </c>
      <c r="M2">
        <v>1.0629999999999999</v>
      </c>
    </row>
    <row r="3" spans="1:14" x14ac:dyDescent="0.35">
      <c r="A3" t="s">
        <v>1</v>
      </c>
      <c r="B3" t="s">
        <v>7</v>
      </c>
      <c r="C3" t="s">
        <v>13</v>
      </c>
      <c r="D3">
        <v>5.8000000000000003E-2</v>
      </c>
      <c r="E3">
        <v>4.3999999999999997E-2</v>
      </c>
      <c r="F3">
        <v>7.6999999999999999E-2</v>
      </c>
      <c r="G3">
        <v>14.3</v>
      </c>
      <c r="H3">
        <v>9.6</v>
      </c>
      <c r="I3">
        <v>17.899999999999999</v>
      </c>
      <c r="J3">
        <v>0.112</v>
      </c>
      <c r="K3">
        <v>1.0509999999999999</v>
      </c>
      <c r="L3">
        <v>1.038</v>
      </c>
      <c r="M3">
        <v>1.0629999999999999</v>
      </c>
    </row>
    <row r="4" spans="1:14" x14ac:dyDescent="0.35">
      <c r="A4" t="s">
        <v>1</v>
      </c>
      <c r="B4" t="s">
        <v>8</v>
      </c>
      <c r="C4" t="s">
        <v>12</v>
      </c>
      <c r="D4">
        <v>3.5999999999999997E-2</v>
      </c>
      <c r="E4">
        <v>2.9000000000000001E-2</v>
      </c>
      <c r="F4">
        <v>5.0999999999999997E-2</v>
      </c>
      <c r="G4">
        <v>15.9</v>
      </c>
      <c r="H4">
        <v>13.2</v>
      </c>
      <c r="I4">
        <v>18.2</v>
      </c>
      <c r="J4">
        <v>7.4999999999999997E-2</v>
      </c>
      <c r="K4">
        <v>1.0509999999999999</v>
      </c>
      <c r="L4">
        <v>1.038</v>
      </c>
      <c r="M4">
        <v>1.0629999999999999</v>
      </c>
      <c r="N4" t="s">
        <v>45</v>
      </c>
    </row>
    <row r="5" spans="1:14" x14ac:dyDescent="0.35">
      <c r="A5" t="s">
        <v>1</v>
      </c>
      <c r="B5" t="s">
        <v>8</v>
      </c>
      <c r="C5" t="s">
        <v>13</v>
      </c>
      <c r="D5">
        <v>0.03</v>
      </c>
      <c r="E5">
        <v>2.3E-2</v>
      </c>
      <c r="F5">
        <v>3.7999999999999999E-2</v>
      </c>
      <c r="G5">
        <v>23.7</v>
      </c>
      <c r="H5">
        <v>17.8</v>
      </c>
      <c r="I5">
        <v>27.5</v>
      </c>
      <c r="J5">
        <v>7.4999999999999997E-2</v>
      </c>
      <c r="K5">
        <v>1.0509999999999999</v>
      </c>
      <c r="L5">
        <v>1.038</v>
      </c>
      <c r="M5">
        <v>1.0629999999999999</v>
      </c>
      <c r="N5" t="s">
        <v>45</v>
      </c>
    </row>
    <row r="6" spans="1:14" x14ac:dyDescent="0.35">
      <c r="A6" t="s">
        <v>1</v>
      </c>
      <c r="B6" t="s">
        <v>9</v>
      </c>
      <c r="C6" t="s">
        <v>13</v>
      </c>
      <c r="D6">
        <v>9.7000000000000003E-2</v>
      </c>
      <c r="E6">
        <v>6.4000000000000001E-2</v>
      </c>
      <c r="F6">
        <v>0.15</v>
      </c>
      <c r="G6">
        <v>16.100000000000001</v>
      </c>
      <c r="H6">
        <v>12.1</v>
      </c>
      <c r="I6">
        <v>19.8</v>
      </c>
      <c r="J6">
        <v>7.4999999999999997E-2</v>
      </c>
      <c r="K6">
        <v>1.0509999999999999</v>
      </c>
      <c r="L6">
        <v>1.038</v>
      </c>
      <c r="M6">
        <v>1.0629999999999999</v>
      </c>
      <c r="N6" t="s">
        <v>45</v>
      </c>
    </row>
    <row r="7" spans="1:14" x14ac:dyDescent="0.35">
      <c r="A7" t="s">
        <v>1</v>
      </c>
      <c r="B7" t="s">
        <v>10</v>
      </c>
      <c r="C7" t="s">
        <v>13</v>
      </c>
      <c r="D7">
        <v>0.29499999999999998</v>
      </c>
      <c r="E7">
        <v>0.26100000000000001</v>
      </c>
      <c r="F7">
        <v>0.33300000000000002</v>
      </c>
      <c r="G7">
        <v>13.5</v>
      </c>
      <c r="H7">
        <v>9.6</v>
      </c>
      <c r="I7">
        <v>17.7</v>
      </c>
      <c r="J7">
        <v>7.4999999999999997E-2</v>
      </c>
      <c r="K7">
        <v>1.022</v>
      </c>
      <c r="L7">
        <v>1.0089999999999999</v>
      </c>
      <c r="M7">
        <v>1.034</v>
      </c>
      <c r="N7" t="s">
        <v>44</v>
      </c>
    </row>
    <row r="8" spans="1:14" x14ac:dyDescent="0.35">
      <c r="A8" t="s">
        <v>2</v>
      </c>
      <c r="B8" t="s">
        <v>7</v>
      </c>
      <c r="C8" t="s">
        <v>12</v>
      </c>
      <c r="D8">
        <v>9.6000000000000002E-2</v>
      </c>
      <c r="E8">
        <v>8.5999999999999993E-2</v>
      </c>
      <c r="F8">
        <v>0.11</v>
      </c>
      <c r="G8">
        <v>14.5</v>
      </c>
      <c r="H8">
        <v>12.8</v>
      </c>
      <c r="I8">
        <v>16.5</v>
      </c>
      <c r="J8">
        <v>6.9000000000000006E-2</v>
      </c>
      <c r="K8">
        <v>1.06</v>
      </c>
      <c r="L8">
        <v>1.0469999999999999</v>
      </c>
      <c r="M8">
        <v>1.073</v>
      </c>
    </row>
    <row r="9" spans="1:14" x14ac:dyDescent="0.35">
      <c r="A9" t="s">
        <v>2</v>
      </c>
      <c r="B9" t="s">
        <v>7</v>
      </c>
      <c r="C9" t="s">
        <v>13</v>
      </c>
      <c r="D9">
        <v>3.6999999999999998E-2</v>
      </c>
      <c r="E9">
        <v>2.9000000000000001E-2</v>
      </c>
      <c r="F9">
        <v>4.7E-2</v>
      </c>
      <c r="G9">
        <v>9.6999999999999993</v>
      </c>
      <c r="H9">
        <v>8.6</v>
      </c>
      <c r="I9">
        <v>10.7</v>
      </c>
      <c r="J9">
        <v>6.9000000000000006E-2</v>
      </c>
      <c r="K9">
        <v>1.06</v>
      </c>
      <c r="L9">
        <v>1.0469999999999999</v>
      </c>
      <c r="M9">
        <v>1.073</v>
      </c>
    </row>
    <row r="10" spans="1:14" x14ac:dyDescent="0.35">
      <c r="A10" t="s">
        <v>2</v>
      </c>
      <c r="B10" t="s">
        <v>8</v>
      </c>
      <c r="C10" t="s">
        <v>12</v>
      </c>
      <c r="D10">
        <v>3.5999999999999997E-2</v>
      </c>
      <c r="E10">
        <v>2.9000000000000001E-2</v>
      </c>
      <c r="F10">
        <v>5.0999999999999997E-2</v>
      </c>
      <c r="G10">
        <v>15.9</v>
      </c>
      <c r="H10">
        <v>13.2</v>
      </c>
      <c r="I10">
        <v>18.2</v>
      </c>
      <c r="J10">
        <v>7.4999999999999997E-2</v>
      </c>
      <c r="K10">
        <v>1.0509999999999999</v>
      </c>
      <c r="L10">
        <v>1.038</v>
      </c>
      <c r="M10">
        <v>1.0629999999999999</v>
      </c>
      <c r="N10" t="s">
        <v>45</v>
      </c>
    </row>
    <row r="11" spans="1:14" x14ac:dyDescent="0.35">
      <c r="A11" t="s">
        <v>2</v>
      </c>
      <c r="B11" t="s">
        <v>8</v>
      </c>
      <c r="C11" t="s">
        <v>13</v>
      </c>
      <c r="D11">
        <v>0.03</v>
      </c>
      <c r="E11">
        <v>2.3E-2</v>
      </c>
      <c r="F11">
        <v>3.7999999999999999E-2</v>
      </c>
      <c r="G11">
        <v>23.7</v>
      </c>
      <c r="H11">
        <v>17.8</v>
      </c>
      <c r="I11">
        <v>27.5</v>
      </c>
      <c r="J11">
        <v>7.4999999999999997E-2</v>
      </c>
      <c r="K11">
        <v>1.0509999999999999</v>
      </c>
      <c r="L11">
        <v>1.038</v>
      </c>
      <c r="M11">
        <v>1.0629999999999999</v>
      </c>
      <c r="N11" t="s">
        <v>45</v>
      </c>
    </row>
    <row r="12" spans="1:14" x14ac:dyDescent="0.35">
      <c r="A12" t="s">
        <v>2</v>
      </c>
      <c r="B12" t="s">
        <v>9</v>
      </c>
      <c r="C12" t="s">
        <v>13</v>
      </c>
      <c r="D12">
        <v>9.7000000000000003E-2</v>
      </c>
      <c r="E12">
        <v>6.4000000000000001E-2</v>
      </c>
      <c r="F12">
        <v>0.15</v>
      </c>
      <c r="G12">
        <v>16.100000000000001</v>
      </c>
      <c r="H12">
        <v>12.1</v>
      </c>
      <c r="I12">
        <v>19.8</v>
      </c>
      <c r="J12">
        <v>7.4999999999999997E-2</v>
      </c>
      <c r="K12">
        <v>1.0509999999999999</v>
      </c>
      <c r="L12">
        <v>1.038</v>
      </c>
      <c r="M12">
        <v>1.0629999999999999</v>
      </c>
      <c r="N12" t="s">
        <v>45</v>
      </c>
    </row>
    <row r="13" spans="1:14" x14ac:dyDescent="0.35">
      <c r="A13" t="s">
        <v>2</v>
      </c>
      <c r="B13" t="s">
        <v>10</v>
      </c>
      <c r="C13" t="s">
        <v>13</v>
      </c>
      <c r="D13">
        <v>0.29499999999999998</v>
      </c>
      <c r="E13">
        <v>0.26100000000000001</v>
      </c>
      <c r="F13">
        <v>0.33300000000000002</v>
      </c>
      <c r="G13">
        <v>13.5</v>
      </c>
      <c r="H13">
        <v>9.6</v>
      </c>
      <c r="I13">
        <v>17.7</v>
      </c>
      <c r="J13">
        <v>7.4999999999999997E-2</v>
      </c>
      <c r="K13">
        <v>1.022</v>
      </c>
      <c r="L13">
        <v>1.0089999999999999</v>
      </c>
      <c r="M13">
        <v>1.034</v>
      </c>
      <c r="N13" t="s">
        <v>44</v>
      </c>
    </row>
    <row r="14" spans="1:14" x14ac:dyDescent="0.35">
      <c r="A14" t="s">
        <v>3</v>
      </c>
      <c r="B14" t="s">
        <v>28</v>
      </c>
      <c r="C14" t="s">
        <v>13</v>
      </c>
      <c r="D14">
        <v>0.10299999999999999</v>
      </c>
      <c r="E14">
        <v>8.5000000000000006E-2</v>
      </c>
      <c r="F14">
        <v>0.13300000000000001</v>
      </c>
      <c r="G14">
        <v>21.9</v>
      </c>
      <c r="H14">
        <v>20.399999999999999</v>
      </c>
      <c r="I14">
        <v>24.2</v>
      </c>
      <c r="J14">
        <v>0.254</v>
      </c>
      <c r="K14">
        <v>1.0289999999999999</v>
      </c>
      <c r="L14">
        <v>1.016</v>
      </c>
      <c r="M14">
        <v>1.0429999999999999</v>
      </c>
      <c r="N14" t="s">
        <v>34</v>
      </c>
    </row>
    <row r="15" spans="1:14" x14ac:dyDescent="0.35">
      <c r="A15" t="s">
        <v>4</v>
      </c>
      <c r="B15" t="s">
        <v>30</v>
      </c>
      <c r="C15" t="s">
        <v>13</v>
      </c>
      <c r="D15">
        <v>0.14599999999999999</v>
      </c>
      <c r="E15">
        <v>0.114</v>
      </c>
      <c r="F15">
        <v>0.19500000000000001</v>
      </c>
      <c r="G15">
        <v>26.2</v>
      </c>
      <c r="H15">
        <v>25.2</v>
      </c>
      <c r="I15">
        <v>27.4</v>
      </c>
      <c r="J15">
        <v>0.17</v>
      </c>
      <c r="K15">
        <v>1.0469999999999999</v>
      </c>
      <c r="L15">
        <v>1.016</v>
      </c>
      <c r="M15">
        <v>1.077</v>
      </c>
      <c r="N15" t="s">
        <v>34</v>
      </c>
    </row>
    <row r="16" spans="1:14" x14ac:dyDescent="0.35">
      <c r="A16" t="s">
        <v>3</v>
      </c>
      <c r="B16" t="s">
        <v>29</v>
      </c>
      <c r="C16" t="s">
        <v>13</v>
      </c>
      <c r="D16">
        <v>7.8E-2</v>
      </c>
      <c r="E16">
        <v>4.7E-2</v>
      </c>
      <c r="F16">
        <v>0.122</v>
      </c>
      <c r="G16">
        <v>22.8</v>
      </c>
      <c r="H16">
        <v>22.2</v>
      </c>
      <c r="I16">
        <v>23</v>
      </c>
      <c r="J16">
        <v>0.17</v>
      </c>
      <c r="K16">
        <v>1.0289999999999999</v>
      </c>
      <c r="L16">
        <v>1.016</v>
      </c>
      <c r="M16">
        <v>1.0429999999999999</v>
      </c>
    </row>
    <row r="17" spans="1:14" x14ac:dyDescent="0.35">
      <c r="A17" t="s">
        <v>26</v>
      </c>
      <c r="B17" t="s">
        <v>23</v>
      </c>
      <c r="C17" t="s">
        <v>12</v>
      </c>
      <c r="D17">
        <v>0.17100000000000001</v>
      </c>
      <c r="E17">
        <v>0.16</v>
      </c>
      <c r="F17">
        <v>0.184</v>
      </c>
      <c r="G17">
        <v>22.4</v>
      </c>
      <c r="H17">
        <v>21.9</v>
      </c>
      <c r="I17">
        <v>22.9</v>
      </c>
      <c r="J17">
        <v>0.27600000000000002</v>
      </c>
      <c r="K17">
        <v>1.0389999999999999</v>
      </c>
      <c r="L17">
        <v>1.034</v>
      </c>
      <c r="M17">
        <v>1.044</v>
      </c>
    </row>
    <row r="18" spans="1:14" x14ac:dyDescent="0.35">
      <c r="A18" t="s">
        <v>26</v>
      </c>
      <c r="B18" t="s">
        <v>24</v>
      </c>
      <c r="C18" t="s">
        <v>13</v>
      </c>
      <c r="D18">
        <v>0.23400000000000001</v>
      </c>
      <c r="E18">
        <v>0.20599999999999999</v>
      </c>
      <c r="F18">
        <v>0.26200000000000001</v>
      </c>
      <c r="G18">
        <v>20.3</v>
      </c>
      <c r="H18">
        <v>19.8</v>
      </c>
      <c r="I18">
        <v>20.7</v>
      </c>
      <c r="J18">
        <v>0.27600000000000002</v>
      </c>
      <c r="K18">
        <v>1.0389999999999999</v>
      </c>
      <c r="L18">
        <v>1.034</v>
      </c>
      <c r="M18">
        <v>1.044</v>
      </c>
    </row>
    <row r="19" spans="1:14" x14ac:dyDescent="0.35">
      <c r="A19" t="s">
        <v>26</v>
      </c>
      <c r="B19" t="s">
        <v>25</v>
      </c>
      <c r="C19" t="s">
        <v>13</v>
      </c>
      <c r="D19">
        <v>0.13400000000000001</v>
      </c>
      <c r="E19">
        <v>0.104</v>
      </c>
      <c r="F19">
        <v>0.17399999999999999</v>
      </c>
      <c r="G19">
        <v>22</v>
      </c>
      <c r="H19">
        <v>20.6</v>
      </c>
      <c r="I19">
        <v>22.5</v>
      </c>
      <c r="J19">
        <v>9.6000000000000002E-2</v>
      </c>
      <c r="K19">
        <v>1.0549999999999999</v>
      </c>
      <c r="L19">
        <v>1.042</v>
      </c>
      <c r="M19">
        <v>1.0680000000000001</v>
      </c>
    </row>
    <row r="20" spans="1:14" x14ac:dyDescent="0.35">
      <c r="A20" t="s">
        <v>27</v>
      </c>
      <c r="B20" t="s">
        <v>23</v>
      </c>
      <c r="C20" t="s">
        <v>12</v>
      </c>
      <c r="D20">
        <v>0.20599999999999999</v>
      </c>
      <c r="E20">
        <v>0.157</v>
      </c>
      <c r="F20">
        <v>0.28999999999999998</v>
      </c>
      <c r="G20">
        <v>16.100000000000001</v>
      </c>
      <c r="H20">
        <v>12.1</v>
      </c>
      <c r="I20">
        <v>19.8</v>
      </c>
      <c r="J20">
        <v>0.27600000000000002</v>
      </c>
      <c r="K20">
        <v>1.0389999999999999</v>
      </c>
      <c r="L20">
        <v>1.034</v>
      </c>
      <c r="M20">
        <v>1.044</v>
      </c>
      <c r="N20" t="s">
        <v>36</v>
      </c>
    </row>
    <row r="21" spans="1:14" x14ac:dyDescent="0.35">
      <c r="A21" t="s">
        <v>27</v>
      </c>
      <c r="B21" t="s">
        <v>24</v>
      </c>
      <c r="C21" t="s">
        <v>13</v>
      </c>
      <c r="D21">
        <v>0.23400000000000001</v>
      </c>
      <c r="E21">
        <v>0.20599999999999999</v>
      </c>
      <c r="F21">
        <v>0.26200000000000001</v>
      </c>
      <c r="G21">
        <v>20.3</v>
      </c>
      <c r="H21">
        <v>19.8</v>
      </c>
      <c r="I21">
        <v>20.7</v>
      </c>
      <c r="J21">
        <v>0.27600000000000002</v>
      </c>
      <c r="K21">
        <v>1.0389999999999999</v>
      </c>
      <c r="L21">
        <v>1.034</v>
      </c>
      <c r="M21">
        <v>1.044</v>
      </c>
      <c r="N21" t="s">
        <v>36</v>
      </c>
    </row>
    <row r="22" spans="1:14" x14ac:dyDescent="0.35">
      <c r="A22" t="s">
        <v>27</v>
      </c>
      <c r="B22" t="s">
        <v>25</v>
      </c>
      <c r="C22" t="s">
        <v>13</v>
      </c>
      <c r="D22">
        <v>0.13400000000000001</v>
      </c>
      <c r="E22">
        <v>0.104</v>
      </c>
      <c r="F22">
        <v>0.17399999999999999</v>
      </c>
      <c r="G22">
        <v>22</v>
      </c>
      <c r="H22">
        <v>20.6</v>
      </c>
      <c r="I22">
        <v>22.5</v>
      </c>
      <c r="J22">
        <v>9.6000000000000002E-2</v>
      </c>
      <c r="K22">
        <v>1.0549999999999999</v>
      </c>
      <c r="L22">
        <v>1.042</v>
      </c>
      <c r="M22">
        <v>1.0680000000000001</v>
      </c>
      <c r="N2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5796D-1366-4842-83C7-7D844EF7DAC5}">
  <dimension ref="A1:M9"/>
  <sheetViews>
    <sheetView tabSelected="1" workbookViewId="0">
      <selection activeCell="K14" sqref="K14"/>
    </sheetView>
  </sheetViews>
  <sheetFormatPr defaultRowHeight="14.5" x14ac:dyDescent="0.35"/>
  <cols>
    <col min="1" max="1" width="17.453125" customWidth="1"/>
    <col min="2" max="2" width="14.6328125" customWidth="1"/>
    <col min="6" max="6" width="11.6328125" customWidth="1"/>
    <col min="7" max="7" width="11.08984375" customWidth="1"/>
    <col min="8" max="8" width="13.6328125" customWidth="1"/>
    <col min="9" max="9" width="13.36328125" customWidth="1"/>
    <col min="10" max="10" width="15" customWidth="1"/>
    <col min="11" max="11" width="10.453125" customWidth="1"/>
    <col min="12" max="12" width="10.26953125" customWidth="1"/>
    <col min="13" max="13" width="12.453125" customWidth="1"/>
    <col min="14" max="14" width="16.7265625" customWidth="1"/>
    <col min="15" max="15" width="10.81640625" customWidth="1"/>
    <col min="16" max="16" width="14.6328125" customWidth="1"/>
    <col min="17" max="17" width="10.81640625" customWidth="1"/>
  </cols>
  <sheetData>
    <row r="1" spans="1:13" x14ac:dyDescent="0.35">
      <c r="A1" t="s">
        <v>0</v>
      </c>
      <c r="B1" t="s">
        <v>16</v>
      </c>
      <c r="C1" t="s">
        <v>11</v>
      </c>
      <c r="D1" t="s">
        <v>18</v>
      </c>
      <c r="E1" t="s">
        <v>21</v>
      </c>
      <c r="F1" t="s">
        <v>22</v>
      </c>
      <c r="G1" t="s">
        <v>37</v>
      </c>
      <c r="H1" t="s">
        <v>38</v>
      </c>
      <c r="I1" t="s">
        <v>39</v>
      </c>
      <c r="J1" t="s">
        <v>31</v>
      </c>
      <c r="K1" t="s">
        <v>40</v>
      </c>
      <c r="L1" t="s">
        <v>32</v>
      </c>
      <c r="M1" t="s">
        <v>33</v>
      </c>
    </row>
    <row r="2" spans="1:13" x14ac:dyDescent="0.35">
      <c r="A2" t="s">
        <v>1</v>
      </c>
      <c r="B2" t="s">
        <v>19</v>
      </c>
      <c r="C2" t="s">
        <v>12</v>
      </c>
      <c r="D2">
        <v>0.115</v>
      </c>
      <c r="E2">
        <v>8.6999999999999994E-2</v>
      </c>
      <c r="F2">
        <v>0.14699999999999999</v>
      </c>
      <c r="G2">
        <v>12.2</v>
      </c>
      <c r="H2">
        <v>10</v>
      </c>
      <c r="I2">
        <v>14.9</v>
      </c>
      <c r="J2">
        <v>5.8999999999999997E-2</v>
      </c>
      <c r="K2">
        <v>1.032</v>
      </c>
      <c r="L2">
        <v>1.014</v>
      </c>
      <c r="M2">
        <v>1.0489999999999999</v>
      </c>
    </row>
    <row r="3" spans="1:13" x14ac:dyDescent="0.35">
      <c r="A3" t="s">
        <v>1</v>
      </c>
      <c r="B3" t="s">
        <v>17</v>
      </c>
      <c r="C3" t="s">
        <v>13</v>
      </c>
      <c r="D3">
        <v>0.34599999999999997</v>
      </c>
      <c r="E3">
        <v>0.249</v>
      </c>
      <c r="F3">
        <v>0.54100000000000004</v>
      </c>
      <c r="G3">
        <v>10.1</v>
      </c>
      <c r="H3">
        <v>6</v>
      </c>
      <c r="I3">
        <v>14</v>
      </c>
      <c r="J3">
        <v>0.221</v>
      </c>
      <c r="K3">
        <v>1.022</v>
      </c>
      <c r="L3">
        <v>1.0089999999999999</v>
      </c>
      <c r="M3">
        <v>1.034</v>
      </c>
    </row>
    <row r="4" spans="1:13" x14ac:dyDescent="0.35">
      <c r="A4" t="s">
        <v>2</v>
      </c>
      <c r="B4" t="s">
        <v>19</v>
      </c>
      <c r="C4" t="s">
        <v>12</v>
      </c>
      <c r="D4">
        <v>0.115</v>
      </c>
      <c r="E4">
        <v>8.6999999999999994E-2</v>
      </c>
      <c r="F4">
        <v>0.14699999999999999</v>
      </c>
      <c r="G4">
        <v>12.2</v>
      </c>
      <c r="H4">
        <v>10</v>
      </c>
      <c r="I4">
        <v>14.9</v>
      </c>
      <c r="J4">
        <v>5.8999999999999997E-2</v>
      </c>
      <c r="K4">
        <v>1.032</v>
      </c>
      <c r="L4">
        <v>1.014</v>
      </c>
      <c r="M4">
        <v>1.0489999999999999</v>
      </c>
    </row>
    <row r="5" spans="1:13" x14ac:dyDescent="0.35">
      <c r="A5" t="s">
        <v>2</v>
      </c>
      <c r="B5" t="s">
        <v>17</v>
      </c>
      <c r="C5" t="s">
        <v>13</v>
      </c>
      <c r="D5">
        <v>0.34599999999999997</v>
      </c>
      <c r="E5">
        <v>0.249</v>
      </c>
      <c r="F5">
        <v>0.54100000000000004</v>
      </c>
      <c r="G5">
        <v>10.1</v>
      </c>
      <c r="H5">
        <v>6</v>
      </c>
      <c r="I5">
        <v>14</v>
      </c>
      <c r="J5">
        <v>0.221</v>
      </c>
      <c r="K5">
        <v>1.022</v>
      </c>
      <c r="L5">
        <v>1.0089999999999999</v>
      </c>
      <c r="M5">
        <v>1.034</v>
      </c>
    </row>
    <row r="6" spans="1:13" x14ac:dyDescent="0.35">
      <c r="A6" t="s">
        <v>5</v>
      </c>
      <c r="B6" t="s">
        <v>19</v>
      </c>
      <c r="C6" t="s">
        <v>12</v>
      </c>
      <c r="D6">
        <v>0.113</v>
      </c>
      <c r="E6">
        <v>8.2000000000000003E-2</v>
      </c>
      <c r="F6">
        <v>0.156</v>
      </c>
      <c r="G6">
        <v>16.7</v>
      </c>
      <c r="H6">
        <v>14.6</v>
      </c>
      <c r="I6">
        <v>18.8</v>
      </c>
      <c r="J6">
        <v>9.0999999999999998E-2</v>
      </c>
      <c r="K6">
        <v>1.0509999999999999</v>
      </c>
      <c r="L6">
        <v>1.028</v>
      </c>
      <c r="M6">
        <v>1.075</v>
      </c>
    </row>
    <row r="7" spans="1:13" x14ac:dyDescent="0.35">
      <c r="A7" t="s">
        <v>5</v>
      </c>
      <c r="B7" t="s">
        <v>20</v>
      </c>
      <c r="C7" t="s">
        <v>12</v>
      </c>
      <c r="D7">
        <v>0.13600000000000001</v>
      </c>
      <c r="E7">
        <v>7.9000000000000001E-2</v>
      </c>
      <c r="F7">
        <v>0.223</v>
      </c>
      <c r="G7">
        <v>11.5</v>
      </c>
      <c r="H7">
        <v>5.8</v>
      </c>
      <c r="I7">
        <v>16</v>
      </c>
      <c r="J7">
        <v>9.0999999999999998E-2</v>
      </c>
      <c r="K7">
        <v>1.0509999999999999</v>
      </c>
      <c r="L7">
        <v>1.028</v>
      </c>
      <c r="M7">
        <v>1.075</v>
      </c>
    </row>
    <row r="8" spans="1:13" x14ac:dyDescent="0.35">
      <c r="A8" t="s">
        <v>5</v>
      </c>
      <c r="B8" t="s">
        <v>17</v>
      </c>
      <c r="C8" t="s">
        <v>13</v>
      </c>
      <c r="D8">
        <v>0.41399999999999998</v>
      </c>
      <c r="E8">
        <v>0.33400000000000002</v>
      </c>
      <c r="F8">
        <v>0.50600000000000001</v>
      </c>
      <c r="G8">
        <v>12.7</v>
      </c>
      <c r="H8">
        <v>11</v>
      </c>
      <c r="I8">
        <v>14.7</v>
      </c>
      <c r="J8">
        <v>0.40699999999999997</v>
      </c>
      <c r="K8">
        <v>1.03</v>
      </c>
      <c r="L8">
        <v>1.0049999999999999</v>
      </c>
      <c r="M8">
        <v>1.054</v>
      </c>
    </row>
    <row r="9" spans="1:13" x14ac:dyDescent="0.35">
      <c r="A9" t="s">
        <v>4</v>
      </c>
      <c r="B9" t="s">
        <v>17</v>
      </c>
      <c r="C9" t="s">
        <v>13</v>
      </c>
      <c r="D9">
        <v>0.29199999999999998</v>
      </c>
      <c r="E9">
        <v>0.19400000000000001</v>
      </c>
      <c r="F9">
        <v>0.38800000000000001</v>
      </c>
      <c r="G9">
        <v>19.899999999999999</v>
      </c>
      <c r="H9">
        <v>-0.8</v>
      </c>
      <c r="I9">
        <v>25</v>
      </c>
      <c r="J9">
        <v>0.04</v>
      </c>
      <c r="K9">
        <v>1.0489999999999999</v>
      </c>
      <c r="L9">
        <v>1.0289999999999999</v>
      </c>
      <c r="M9">
        <v>1.07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CD58D-A5AD-4C65-822A-443C7DF188CC}">
  <dimension ref="A1:D33"/>
  <sheetViews>
    <sheetView workbookViewId="0">
      <selection activeCell="C33" sqref="C33"/>
    </sheetView>
  </sheetViews>
  <sheetFormatPr defaultRowHeight="14.5" x14ac:dyDescent="0.35"/>
  <cols>
    <col min="2" max="3" width="10.6328125" customWidth="1"/>
    <col min="4" max="4" width="12.08984375" customWidth="1"/>
  </cols>
  <sheetData>
    <row r="1" spans="1:4" x14ac:dyDescent="0.35">
      <c r="A1" t="s">
        <v>41</v>
      </c>
      <c r="B1" t="s">
        <v>42</v>
      </c>
      <c r="C1" t="s">
        <v>42</v>
      </c>
      <c r="D1" t="s">
        <v>43</v>
      </c>
    </row>
    <row r="2" spans="1:4" x14ac:dyDescent="0.35">
      <c r="A2">
        <v>0</v>
      </c>
      <c r="B2">
        <f>B$16*1.063^(A2-A$16)</f>
        <v>0.12930727064055908</v>
      </c>
      <c r="C2">
        <f>C$16*1.022^(A2-A$16)</f>
        <v>0.21990490816311156</v>
      </c>
      <c r="D2">
        <f>D$18*1.063^(A2-A$18)</f>
        <v>2.9995927520752932E-2</v>
      </c>
    </row>
    <row r="3" spans="1:4" x14ac:dyDescent="0.35">
      <c r="A3">
        <v>1</v>
      </c>
      <c r="B3">
        <f t="shared" ref="B3:B33" si="0">B$16*1.063^(A3-A$16)</f>
        <v>0.13745362869091429</v>
      </c>
      <c r="C3">
        <f t="shared" ref="C3:C33" si="1">C$16*1.022^(A3-A$16)</f>
        <v>0.2247428161427</v>
      </c>
      <c r="D3">
        <f t="shared" ref="D3:D33" si="2">D$18*1.063^(A3-A$18)</f>
        <v>3.1885670954560366E-2</v>
      </c>
    </row>
    <row r="4" spans="1:4" x14ac:dyDescent="0.35">
      <c r="A4">
        <v>2</v>
      </c>
      <c r="B4">
        <f>B$16*1.063^(A4-A$16)</f>
        <v>0.14611320729844193</v>
      </c>
      <c r="C4">
        <f t="shared" si="1"/>
        <v>0.22968715809783943</v>
      </c>
      <c r="D4">
        <f t="shared" si="2"/>
        <v>3.389446822469766E-2</v>
      </c>
    </row>
    <row r="5" spans="1:4" x14ac:dyDescent="0.35">
      <c r="A5">
        <v>3</v>
      </c>
      <c r="B5">
        <f t="shared" si="0"/>
        <v>0.15531833935824374</v>
      </c>
      <c r="C5">
        <f t="shared" si="1"/>
        <v>0.23474027557599192</v>
      </c>
      <c r="D5">
        <f t="shared" si="2"/>
        <v>3.6029819722853615E-2</v>
      </c>
    </row>
    <row r="6" spans="1:4" x14ac:dyDescent="0.35">
      <c r="A6">
        <v>4</v>
      </c>
      <c r="B6">
        <f t="shared" si="0"/>
        <v>0.16510339473781308</v>
      </c>
      <c r="C6">
        <f t="shared" si="1"/>
        <v>0.23990456163866369</v>
      </c>
      <c r="D6">
        <f t="shared" si="2"/>
        <v>3.8299698365393396E-2</v>
      </c>
    </row>
    <row r="7" spans="1:4" x14ac:dyDescent="0.35">
      <c r="A7">
        <v>5</v>
      </c>
      <c r="B7">
        <f t="shared" si="0"/>
        <v>0.17550490860629531</v>
      </c>
      <c r="C7">
        <f t="shared" si="1"/>
        <v>0.24518246199471433</v>
      </c>
      <c r="D7">
        <f t="shared" si="2"/>
        <v>4.0712579362413168E-2</v>
      </c>
    </row>
    <row r="8" spans="1:4" x14ac:dyDescent="0.35">
      <c r="A8">
        <v>6</v>
      </c>
      <c r="B8">
        <f t="shared" si="0"/>
        <v>0.1865617178484919</v>
      </c>
      <c r="C8">
        <f t="shared" si="1"/>
        <v>0.25057647615859802</v>
      </c>
      <c r="D8">
        <f t="shared" si="2"/>
        <v>4.3277471862245197E-2</v>
      </c>
    </row>
    <row r="9" spans="1:4" x14ac:dyDescent="0.35">
      <c r="A9">
        <v>7</v>
      </c>
      <c r="B9">
        <f t="shared" si="0"/>
        <v>0.19831510607294686</v>
      </c>
      <c r="C9">
        <f t="shared" si="1"/>
        <v>0.25608915863408721</v>
      </c>
      <c r="D9">
        <f t="shared" si="2"/>
        <v>4.6003952589566639E-2</v>
      </c>
    </row>
    <row r="10" spans="1:4" x14ac:dyDescent="0.35">
      <c r="A10">
        <v>8</v>
      </c>
      <c r="B10">
        <f t="shared" si="0"/>
        <v>0.21080895775554251</v>
      </c>
      <c r="C10">
        <f t="shared" si="1"/>
        <v>0.26172312012403709</v>
      </c>
      <c r="D10">
        <f t="shared" si="2"/>
        <v>4.8902201602709333E-2</v>
      </c>
    </row>
    <row r="11" spans="1:4" x14ac:dyDescent="0.35">
      <c r="A11">
        <v>9</v>
      </c>
      <c r="B11">
        <f t="shared" si="0"/>
        <v>0.22408992209414169</v>
      </c>
      <c r="C11">
        <f t="shared" si="1"/>
        <v>0.26748102876676594</v>
      </c>
      <c r="D11">
        <f t="shared" si="2"/>
        <v>5.1983040303680027E-2</v>
      </c>
    </row>
    <row r="12" spans="1:4" x14ac:dyDescent="0.35">
      <c r="A12">
        <v>10</v>
      </c>
      <c r="B12">
        <f t="shared" si="0"/>
        <v>0.23820758718607257</v>
      </c>
      <c r="C12">
        <f t="shared" si="1"/>
        <v>0.27336561139963483</v>
      </c>
      <c r="D12">
        <f t="shared" si="2"/>
        <v>5.5257971842811858E-2</v>
      </c>
    </row>
    <row r="13" spans="1:4" x14ac:dyDescent="0.35">
      <c r="A13">
        <v>11</v>
      </c>
      <c r="B13">
        <f t="shared" si="0"/>
        <v>0.25321466517879515</v>
      </c>
      <c r="C13">
        <f t="shared" si="1"/>
        <v>0.27937965485042676</v>
      </c>
      <c r="D13">
        <f t="shared" si="2"/>
        <v>5.8739224068908996E-2</v>
      </c>
    </row>
    <row r="14" spans="1:4" x14ac:dyDescent="0.35">
      <c r="A14">
        <v>12</v>
      </c>
      <c r="B14">
        <f t="shared" si="0"/>
        <v>0.26916718908505927</v>
      </c>
      <c r="C14">
        <f t="shared" si="1"/>
        <v>0.28552600725713617</v>
      </c>
      <c r="D14">
        <f t="shared" si="2"/>
        <v>6.2439795185250252E-2</v>
      </c>
    </row>
    <row r="15" spans="1:4" x14ac:dyDescent="0.35">
      <c r="A15">
        <v>13</v>
      </c>
      <c r="B15">
        <f t="shared" si="0"/>
        <v>0.28612472199741801</v>
      </c>
      <c r="C15">
        <f t="shared" si="1"/>
        <v>0.29180757941679319</v>
      </c>
      <c r="D15">
        <f t="shared" si="2"/>
        <v>6.6373502281921015E-2</v>
      </c>
    </row>
    <row r="16" spans="1:4" x14ac:dyDescent="0.35">
      <c r="A16">
        <v>13.5</v>
      </c>
      <c r="B16">
        <v>0.29499999999999998</v>
      </c>
      <c r="C16">
        <v>0.29499999999999998</v>
      </c>
      <c r="D16">
        <f t="shared" si="2"/>
        <v>6.8432336208065908E-2</v>
      </c>
    </row>
    <row r="17" spans="1:4" x14ac:dyDescent="0.35">
      <c r="A17">
        <v>14</v>
      </c>
      <c r="B17">
        <f t="shared" si="0"/>
        <v>0.30415057948325525</v>
      </c>
      <c r="C17">
        <f t="shared" si="1"/>
        <v>0.29822734616396263</v>
      </c>
      <c r="D17">
        <f t="shared" si="2"/>
        <v>7.0555032925682035E-2</v>
      </c>
    </row>
    <row r="18" spans="1:4" x14ac:dyDescent="0.35">
      <c r="A18">
        <v>15</v>
      </c>
      <c r="B18">
        <f t="shared" si="0"/>
        <v>0.32331206599070034</v>
      </c>
      <c r="C18">
        <f t="shared" si="1"/>
        <v>0.30478834777956981</v>
      </c>
      <c r="D18">
        <v>7.4999999999999997E-2</v>
      </c>
    </row>
    <row r="19" spans="1:4" x14ac:dyDescent="0.35">
      <c r="A19">
        <v>16</v>
      </c>
      <c r="B19">
        <f t="shared" si="0"/>
        <v>0.34368072614811446</v>
      </c>
      <c r="C19">
        <f t="shared" si="1"/>
        <v>0.31149369143072037</v>
      </c>
      <c r="D19">
        <f t="shared" si="2"/>
        <v>7.972499999999999E-2</v>
      </c>
    </row>
    <row r="20" spans="1:4" x14ac:dyDescent="0.35">
      <c r="A20">
        <v>17</v>
      </c>
      <c r="B20">
        <f t="shared" si="0"/>
        <v>0.36533261189544564</v>
      </c>
      <c r="C20">
        <f t="shared" si="1"/>
        <v>0.31834655264219619</v>
      </c>
      <c r="D20">
        <f t="shared" si="2"/>
        <v>8.4747674999999981E-2</v>
      </c>
    </row>
    <row r="21" spans="1:4" x14ac:dyDescent="0.35">
      <c r="A21">
        <v>18</v>
      </c>
      <c r="B21">
        <f t="shared" si="0"/>
        <v>0.38834856644485866</v>
      </c>
      <c r="C21">
        <f t="shared" si="1"/>
        <v>0.32535017680032452</v>
      </c>
      <c r="D21">
        <f t="shared" si="2"/>
        <v>9.008677852499998E-2</v>
      </c>
    </row>
    <row r="22" spans="1:4" x14ac:dyDescent="0.35">
      <c r="A22">
        <v>19</v>
      </c>
      <c r="B22">
        <f t="shared" si="0"/>
        <v>0.41281452613088476</v>
      </c>
      <c r="C22">
        <f t="shared" si="1"/>
        <v>0.3325078806899317</v>
      </c>
      <c r="D22">
        <f t="shared" si="2"/>
        <v>9.5762245572074967E-2</v>
      </c>
    </row>
    <row r="23" spans="1:4" x14ac:dyDescent="0.35">
      <c r="A23">
        <v>20</v>
      </c>
      <c r="B23">
        <f t="shared" si="0"/>
        <v>0.43882184127713053</v>
      </c>
      <c r="C23">
        <f t="shared" si="1"/>
        <v>0.33982305406511021</v>
      </c>
      <c r="D23">
        <f t="shared" si="2"/>
        <v>0.10179526704311569</v>
      </c>
    </row>
    <row r="24" spans="1:4" x14ac:dyDescent="0.35">
      <c r="A24">
        <v>21</v>
      </c>
      <c r="B24">
        <f t="shared" si="0"/>
        <v>0.46646761727758967</v>
      </c>
      <c r="C24">
        <f t="shared" si="1"/>
        <v>0.34729916125454263</v>
      </c>
      <c r="D24">
        <f t="shared" si="2"/>
        <v>0.10820836886683195</v>
      </c>
    </row>
    <row r="25" spans="1:4" x14ac:dyDescent="0.35">
      <c r="A25">
        <v>22</v>
      </c>
      <c r="B25">
        <f t="shared" si="0"/>
        <v>0.4958550771660778</v>
      </c>
      <c r="C25">
        <f t="shared" si="1"/>
        <v>0.35493974280214252</v>
      </c>
      <c r="D25">
        <f t="shared" si="2"/>
        <v>0.11502549610544235</v>
      </c>
    </row>
    <row r="26" spans="1:4" x14ac:dyDescent="0.35">
      <c r="A26">
        <v>23</v>
      </c>
      <c r="B26">
        <f t="shared" si="0"/>
        <v>0.52709394702754064</v>
      </c>
      <c r="C26">
        <f t="shared" si="1"/>
        <v>0.36274841714378969</v>
      </c>
      <c r="D26">
        <f t="shared" si="2"/>
        <v>0.12227210236008522</v>
      </c>
    </row>
    <row r="27" spans="1:4" x14ac:dyDescent="0.35">
      <c r="A27">
        <v>24</v>
      </c>
      <c r="B27">
        <f t="shared" si="0"/>
        <v>0.56030086569027571</v>
      </c>
      <c r="C27">
        <f t="shared" si="1"/>
        <v>0.37072888232095302</v>
      </c>
      <c r="D27">
        <f t="shared" si="2"/>
        <v>0.1299752448087706</v>
      </c>
    </row>
    <row r="28" spans="1:4" x14ac:dyDescent="0.35">
      <c r="A28">
        <v>25</v>
      </c>
      <c r="B28">
        <f t="shared" si="0"/>
        <v>0.59559982022876301</v>
      </c>
      <c r="C28">
        <f t="shared" si="1"/>
        <v>0.37888491773201399</v>
      </c>
      <c r="D28">
        <f t="shared" si="2"/>
        <v>0.13816368523172312</v>
      </c>
    </row>
    <row r="29" spans="1:4" x14ac:dyDescent="0.35">
      <c r="A29">
        <v>26</v>
      </c>
      <c r="B29">
        <f t="shared" si="0"/>
        <v>0.63312260890317518</v>
      </c>
      <c r="C29">
        <f t="shared" si="1"/>
        <v>0.38722038592211838</v>
      </c>
      <c r="D29">
        <f t="shared" si="2"/>
        <v>0.14686799740132164</v>
      </c>
    </row>
    <row r="30" spans="1:4" x14ac:dyDescent="0.35">
      <c r="A30">
        <v>27</v>
      </c>
      <c r="B30">
        <f t="shared" si="0"/>
        <v>0.67300933326407519</v>
      </c>
      <c r="C30">
        <f t="shared" si="1"/>
        <v>0.39573923441240494</v>
      </c>
      <c r="D30">
        <f t="shared" si="2"/>
        <v>0.15612068123760492</v>
      </c>
    </row>
    <row r="31" spans="1:4" x14ac:dyDescent="0.35">
      <c r="A31">
        <v>28</v>
      </c>
      <c r="B31">
        <f t="shared" si="0"/>
        <v>0.71540892125971178</v>
      </c>
      <c r="C31">
        <f t="shared" si="1"/>
        <v>0.4044454975694779</v>
      </c>
      <c r="D31">
        <f t="shared" si="2"/>
        <v>0.16595628415557401</v>
      </c>
    </row>
    <row r="32" spans="1:4" x14ac:dyDescent="0.35">
      <c r="A32">
        <v>29</v>
      </c>
      <c r="B32">
        <f t="shared" si="0"/>
        <v>0.76047968329907367</v>
      </c>
      <c r="C32">
        <f t="shared" si="1"/>
        <v>0.41334329851600637</v>
      </c>
      <c r="D32">
        <f t="shared" si="2"/>
        <v>0.17641153005737514</v>
      </c>
    </row>
    <row r="33" spans="1:4" x14ac:dyDescent="0.35">
      <c r="A33">
        <v>30</v>
      </c>
      <c r="B33">
        <f t="shared" si="0"/>
        <v>0.80838990334691518</v>
      </c>
      <c r="C33">
        <f t="shared" si="1"/>
        <v>0.4224368510833586</v>
      </c>
      <c r="D33">
        <f t="shared" si="2"/>
        <v>0.18752545645098975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Housing</vt:lpstr>
      <vt:lpstr>Storage</vt:lpstr>
      <vt:lpstr>EF comparision with the same 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 Hung</dc:creator>
  <cp:lastModifiedBy>CY Hung</cp:lastModifiedBy>
  <dcterms:created xsi:type="dcterms:W3CDTF">2026-05-22T01:14:08Z</dcterms:created>
  <dcterms:modified xsi:type="dcterms:W3CDTF">2026-07-07T01:26:31Z</dcterms:modified>
</cp:coreProperties>
</file>